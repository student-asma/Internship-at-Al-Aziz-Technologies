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2A587785-0B92-4089-82B5-B88E7154E707}" xr6:coauthVersionLast="47" xr6:coauthVersionMax="47" xr10:uidLastSave="{00000000-0000-0000-0000-000000000000}"/>
  <bookViews>
    <workbookView xWindow="-110" yWindow="-110" windowWidth="19420" windowHeight="10300" tabRatio="500" activeTab="3" xr2:uid="{00000000-000D-0000-FFFF-FFFF00000000}"/>
  </bookViews>
  <sheets>
    <sheet name="Raw_Data" sheetId="1" r:id="rId1"/>
    <sheet name="Pivot_Tables" sheetId="6" r:id="rId2"/>
    <sheet name="Dashboard" sheetId="7" state="hidden" r:id="rId3"/>
    <sheet name="Sales_Dashboard" sheetId="8" r:id="rId4"/>
    <sheet name="Cleaned_Data" sheetId="5" r:id="rId5"/>
  </sheets>
  <definedNames>
    <definedName name="_xlnm._FilterDatabase" localSheetId="4" hidden="1">Cleaned_Data!$A$1:$S$1</definedName>
    <definedName name="_xlnm._FilterDatabase" localSheetId="0" hidden="1">Raw_Data!$A$1:$N$105</definedName>
    <definedName name="NativeTimeline_Order_Date">#N/A</definedName>
    <definedName name="Slicer_Category">#N/A</definedName>
    <definedName name="Slicer_City">#N/A</definedName>
    <definedName name="Slicer_Customer_Status">#N/A</definedName>
    <definedName name="Slicer_Payment_Method">#N/A</definedName>
  </definedNames>
  <calcPr calcId="181029" iterateDelta="1E-4"/>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B4" i="7" l="1"/>
  <c r="S104" i="5"/>
  <c r="R104" i="5"/>
  <c r="Q104" i="5"/>
  <c r="P104" i="5"/>
  <c r="L104" i="5"/>
  <c r="H104" i="5"/>
  <c r="G104" i="5"/>
  <c r="F104" i="5"/>
  <c r="E104" i="5"/>
  <c r="B104" i="5"/>
  <c r="S103" i="5"/>
  <c r="R103" i="5"/>
  <c r="Q103" i="5"/>
  <c r="P103" i="5"/>
  <c r="L103" i="5"/>
  <c r="H103" i="5"/>
  <c r="G103" i="5"/>
  <c r="F103" i="5"/>
  <c r="E103" i="5"/>
  <c r="B103" i="5"/>
  <c r="S102" i="5"/>
  <c r="R102" i="5"/>
  <c r="Q102" i="5"/>
  <c r="P102" i="5"/>
  <c r="L102" i="5"/>
  <c r="G102" i="5"/>
  <c r="F102" i="5"/>
  <c r="E102" i="5"/>
  <c r="B102" i="5"/>
  <c r="S101" i="5"/>
  <c r="R101" i="5"/>
  <c r="Q101" i="5"/>
  <c r="P101" i="5"/>
  <c r="L101" i="5"/>
  <c r="G101" i="5"/>
  <c r="F101" i="5"/>
  <c r="E101" i="5"/>
  <c r="B101" i="5"/>
  <c r="S100" i="5"/>
  <c r="R100" i="5"/>
  <c r="Q100" i="5"/>
  <c r="P100" i="5"/>
  <c r="L100" i="5"/>
  <c r="G100" i="5"/>
  <c r="F100" i="5"/>
  <c r="E100" i="5"/>
  <c r="B100" i="5"/>
  <c r="S99" i="5"/>
  <c r="R99" i="5"/>
  <c r="Q99" i="5"/>
  <c r="P99" i="5"/>
  <c r="L99" i="5"/>
  <c r="H99" i="5"/>
  <c r="G99" i="5"/>
  <c r="F99" i="5"/>
  <c r="E99" i="5"/>
  <c r="B99" i="5"/>
  <c r="S98" i="5"/>
  <c r="R98" i="5"/>
  <c r="Q98" i="5"/>
  <c r="P98" i="5"/>
  <c r="L98" i="5"/>
  <c r="H98" i="5"/>
  <c r="G98" i="5"/>
  <c r="F98" i="5"/>
  <c r="E98" i="5"/>
  <c r="B98" i="5"/>
  <c r="S97" i="5"/>
  <c r="R97" i="5"/>
  <c r="Q97" i="5"/>
  <c r="P97" i="5"/>
  <c r="L97" i="5"/>
  <c r="G97" i="5"/>
  <c r="F97" i="5"/>
  <c r="E97" i="5"/>
  <c r="B97" i="5"/>
  <c r="S96" i="5"/>
  <c r="R96" i="5"/>
  <c r="Q96" i="5"/>
  <c r="P96" i="5"/>
  <c r="L96" i="5"/>
  <c r="G96" i="5"/>
  <c r="F96" i="5"/>
  <c r="E96" i="5"/>
  <c r="B96" i="5"/>
  <c r="S95" i="5"/>
  <c r="R95" i="5"/>
  <c r="Q95" i="5"/>
  <c r="P95" i="5"/>
  <c r="L95" i="5"/>
  <c r="G95" i="5"/>
  <c r="F95" i="5"/>
  <c r="E95" i="5"/>
  <c r="B95" i="5"/>
  <c r="S94" i="5"/>
  <c r="R94" i="5"/>
  <c r="Q94" i="5"/>
  <c r="P94" i="5"/>
  <c r="L94" i="5"/>
  <c r="G94" i="5"/>
  <c r="F94" i="5"/>
  <c r="E94" i="5"/>
  <c r="B94" i="5"/>
  <c r="S93" i="5"/>
  <c r="R93" i="5"/>
  <c r="Q93" i="5"/>
  <c r="P93" i="5"/>
  <c r="L93" i="5"/>
  <c r="H93" i="5"/>
  <c r="G93" i="5"/>
  <c r="F93" i="5"/>
  <c r="E93" i="5"/>
  <c r="B93" i="5"/>
  <c r="S92" i="5"/>
  <c r="R92" i="5"/>
  <c r="Q92" i="5"/>
  <c r="P92" i="5"/>
  <c r="L92" i="5"/>
  <c r="H92" i="5"/>
  <c r="G92" i="5"/>
  <c r="F92" i="5"/>
  <c r="E92" i="5"/>
  <c r="B92" i="5"/>
  <c r="S91" i="5"/>
  <c r="R91" i="5"/>
  <c r="Q91" i="5"/>
  <c r="P91" i="5"/>
  <c r="L91" i="5"/>
  <c r="H91" i="5"/>
  <c r="G91" i="5"/>
  <c r="F91" i="5"/>
  <c r="E91" i="5"/>
  <c r="B91" i="5"/>
  <c r="S90" i="5"/>
  <c r="R90" i="5"/>
  <c r="Q90" i="5"/>
  <c r="P90" i="5"/>
  <c r="L90" i="5"/>
  <c r="H90" i="5"/>
  <c r="G90" i="5"/>
  <c r="F90" i="5"/>
  <c r="E90" i="5"/>
  <c r="B90" i="5"/>
  <c r="S89" i="5"/>
  <c r="R89" i="5"/>
  <c r="Q89" i="5"/>
  <c r="P89" i="5"/>
  <c r="L89" i="5"/>
  <c r="H89" i="5"/>
  <c r="G89" i="5"/>
  <c r="F89" i="5"/>
  <c r="E89" i="5"/>
  <c r="B89" i="5"/>
  <c r="S88" i="5"/>
  <c r="R88" i="5"/>
  <c r="Q88" i="5"/>
  <c r="P88" i="5"/>
  <c r="L88" i="5"/>
  <c r="H88" i="5"/>
  <c r="G88" i="5"/>
  <c r="F88" i="5"/>
  <c r="E88" i="5"/>
  <c r="B88" i="5"/>
  <c r="S87" i="5"/>
  <c r="R87" i="5"/>
  <c r="Q87" i="5"/>
  <c r="P87" i="5"/>
  <c r="L87" i="5"/>
  <c r="G87" i="5"/>
  <c r="F87" i="5"/>
  <c r="E87" i="5"/>
  <c r="B87" i="5"/>
  <c r="S86" i="5"/>
  <c r="R86" i="5"/>
  <c r="Q86" i="5"/>
  <c r="P86" i="5"/>
  <c r="L86" i="5"/>
  <c r="G86" i="5"/>
  <c r="F86" i="5"/>
  <c r="E86" i="5"/>
  <c r="B86" i="5"/>
  <c r="S85" i="5"/>
  <c r="R85" i="5"/>
  <c r="Q85" i="5"/>
  <c r="P85" i="5"/>
  <c r="L85" i="5"/>
  <c r="H85" i="5"/>
  <c r="G85" i="5"/>
  <c r="F85" i="5"/>
  <c r="E85" i="5"/>
  <c r="B85" i="5"/>
  <c r="S84" i="5"/>
  <c r="R84" i="5"/>
  <c r="Q84" i="5"/>
  <c r="P84" i="5"/>
  <c r="L84" i="5"/>
  <c r="H84" i="5"/>
  <c r="G84" i="5"/>
  <c r="F84" i="5"/>
  <c r="E84" i="5"/>
  <c r="B84" i="5"/>
  <c r="S83" i="5"/>
  <c r="R83" i="5"/>
  <c r="Q83" i="5"/>
  <c r="P83" i="5"/>
  <c r="L83" i="5"/>
  <c r="H83" i="5"/>
  <c r="G83" i="5"/>
  <c r="F83" i="5"/>
  <c r="E83" i="5"/>
  <c r="B83" i="5"/>
  <c r="S82" i="5"/>
  <c r="R82" i="5"/>
  <c r="Q82" i="5"/>
  <c r="P82" i="5"/>
  <c r="L82" i="5"/>
  <c r="H82" i="5"/>
  <c r="G82" i="5"/>
  <c r="F82" i="5"/>
  <c r="E82" i="5"/>
  <c r="B82" i="5"/>
  <c r="S81" i="5"/>
  <c r="R81" i="5"/>
  <c r="Q81" i="5"/>
  <c r="P81" i="5"/>
  <c r="L81" i="5"/>
  <c r="G81" i="5"/>
  <c r="F81" i="5"/>
  <c r="E81" i="5"/>
  <c r="B81" i="5"/>
  <c r="S80" i="5"/>
  <c r="R80" i="5"/>
  <c r="Q80" i="5"/>
  <c r="P80" i="5"/>
  <c r="L80" i="5"/>
  <c r="G80" i="5"/>
  <c r="F80" i="5"/>
  <c r="E80" i="5"/>
  <c r="B80" i="5"/>
  <c r="S79" i="5"/>
  <c r="R79" i="5"/>
  <c r="Q79" i="5"/>
  <c r="P79" i="5"/>
  <c r="L79" i="5"/>
  <c r="H79" i="5"/>
  <c r="G79" i="5"/>
  <c r="F79" i="5"/>
  <c r="E79" i="5"/>
  <c r="B79" i="5"/>
  <c r="S78" i="5"/>
  <c r="R78" i="5"/>
  <c r="Q78" i="5"/>
  <c r="P78" i="5"/>
  <c r="L78" i="5"/>
  <c r="G78" i="5"/>
  <c r="F78" i="5"/>
  <c r="E78" i="5"/>
  <c r="B78" i="5"/>
  <c r="S77" i="5"/>
  <c r="R77" i="5"/>
  <c r="Q77" i="5"/>
  <c r="P77" i="5"/>
  <c r="L77" i="5"/>
  <c r="H77" i="5"/>
  <c r="G77" i="5"/>
  <c r="F77" i="5"/>
  <c r="E77" i="5"/>
  <c r="B77" i="5"/>
  <c r="S76" i="5"/>
  <c r="R76" i="5"/>
  <c r="Q76" i="5"/>
  <c r="P76" i="5"/>
  <c r="L76" i="5"/>
  <c r="H76" i="5"/>
  <c r="G76" i="5"/>
  <c r="F76" i="5"/>
  <c r="E76" i="5"/>
  <c r="B76" i="5"/>
  <c r="S75" i="5"/>
  <c r="R75" i="5"/>
  <c r="Q75" i="5"/>
  <c r="P75" i="5"/>
  <c r="L75" i="5"/>
  <c r="G75" i="5"/>
  <c r="E75" i="5"/>
  <c r="B75" i="5"/>
  <c r="S74" i="5"/>
  <c r="R74" i="5"/>
  <c r="Q74" i="5"/>
  <c r="P74" i="5"/>
  <c r="L74" i="5"/>
  <c r="G74" i="5"/>
  <c r="F74" i="5"/>
  <c r="E74" i="5"/>
  <c r="B74" i="5"/>
  <c r="S73" i="5"/>
  <c r="R73" i="5"/>
  <c r="Q73" i="5"/>
  <c r="P73" i="5"/>
  <c r="L73" i="5"/>
  <c r="G73" i="5"/>
  <c r="F73" i="5"/>
  <c r="E73" i="5"/>
  <c r="B73" i="5"/>
  <c r="S72" i="5"/>
  <c r="R72" i="5"/>
  <c r="Q72" i="5"/>
  <c r="P72" i="5"/>
  <c r="L72" i="5"/>
  <c r="G72" i="5"/>
  <c r="F72" i="5"/>
  <c r="E72" i="5"/>
  <c r="B72" i="5"/>
  <c r="S71" i="5"/>
  <c r="R71" i="5"/>
  <c r="Q71" i="5"/>
  <c r="P71" i="5"/>
  <c r="L71" i="5"/>
  <c r="G71" i="5"/>
  <c r="F71" i="5"/>
  <c r="E71" i="5"/>
  <c r="B71" i="5"/>
  <c r="S70" i="5"/>
  <c r="R70" i="5"/>
  <c r="Q70" i="5"/>
  <c r="P70" i="5"/>
  <c r="L70" i="5"/>
  <c r="G70" i="5"/>
  <c r="F70" i="5"/>
  <c r="E70" i="5"/>
  <c r="B70" i="5"/>
  <c r="S69" i="5"/>
  <c r="R69" i="5"/>
  <c r="Q69" i="5"/>
  <c r="P69" i="5"/>
  <c r="L69" i="5"/>
  <c r="H69" i="5"/>
  <c r="G69" i="5"/>
  <c r="F69" i="5"/>
  <c r="E69" i="5"/>
  <c r="B69" i="5"/>
  <c r="S68" i="5"/>
  <c r="R68" i="5"/>
  <c r="Q68" i="5"/>
  <c r="P68" i="5"/>
  <c r="L68" i="5"/>
  <c r="H68" i="5"/>
  <c r="G68" i="5"/>
  <c r="F68" i="5"/>
  <c r="E68" i="5"/>
  <c r="B68" i="5"/>
  <c r="S67" i="5"/>
  <c r="R67" i="5"/>
  <c r="Q67" i="5"/>
  <c r="P67" i="5"/>
  <c r="L67" i="5"/>
  <c r="H67" i="5"/>
  <c r="G67" i="5"/>
  <c r="F67" i="5"/>
  <c r="E67" i="5"/>
  <c r="B67" i="5"/>
  <c r="S66" i="5"/>
  <c r="R66" i="5"/>
  <c r="Q66" i="5"/>
  <c r="P66" i="5"/>
  <c r="L66" i="5"/>
  <c r="G66" i="5"/>
  <c r="F66" i="5"/>
  <c r="E66" i="5"/>
  <c r="B66" i="5"/>
  <c r="S65" i="5"/>
  <c r="R65" i="5"/>
  <c r="Q65" i="5"/>
  <c r="P65" i="5"/>
  <c r="L65" i="5"/>
  <c r="H65" i="5"/>
  <c r="G65" i="5"/>
  <c r="F65" i="5"/>
  <c r="E65" i="5"/>
  <c r="B65" i="5"/>
  <c r="S64" i="5"/>
  <c r="R64" i="5"/>
  <c r="Q64" i="5"/>
  <c r="P64" i="5"/>
  <c r="L64" i="5"/>
  <c r="G64" i="5"/>
  <c r="F64" i="5"/>
  <c r="E64" i="5"/>
  <c r="B64" i="5"/>
  <c r="S63" i="5"/>
  <c r="R63" i="5"/>
  <c r="Q63" i="5"/>
  <c r="P63" i="5"/>
  <c r="L63" i="5"/>
  <c r="G63" i="5"/>
  <c r="F63" i="5"/>
  <c r="E63" i="5"/>
  <c r="B63" i="5"/>
  <c r="S62" i="5"/>
  <c r="R62" i="5"/>
  <c r="Q62" i="5"/>
  <c r="P62" i="5"/>
  <c r="L62" i="5"/>
  <c r="G62" i="5"/>
  <c r="F62" i="5"/>
  <c r="E62" i="5"/>
  <c r="B62" i="5"/>
  <c r="S61" i="5"/>
  <c r="R61" i="5"/>
  <c r="Q61" i="5"/>
  <c r="P61" i="5"/>
  <c r="L61" i="5"/>
  <c r="H61" i="5"/>
  <c r="G61" i="5"/>
  <c r="F61" i="5"/>
  <c r="E61" i="5"/>
  <c r="B61" i="5"/>
  <c r="S60" i="5"/>
  <c r="R60" i="5"/>
  <c r="Q60" i="5"/>
  <c r="P60" i="5"/>
  <c r="L60" i="5"/>
  <c r="H60" i="5"/>
  <c r="G60" i="5"/>
  <c r="F60" i="5"/>
  <c r="E60" i="5"/>
  <c r="B60" i="5"/>
  <c r="S59" i="5"/>
  <c r="R59" i="5"/>
  <c r="Q59" i="5"/>
  <c r="P59" i="5"/>
  <c r="L59" i="5"/>
  <c r="G59" i="5"/>
  <c r="F59" i="5"/>
  <c r="E59" i="5"/>
  <c r="B59" i="5"/>
  <c r="S58" i="5"/>
  <c r="R58" i="5"/>
  <c r="Q58" i="5"/>
  <c r="P58" i="5"/>
  <c r="L58" i="5"/>
  <c r="G58" i="5"/>
  <c r="F58" i="5"/>
  <c r="E58" i="5"/>
  <c r="B58" i="5"/>
  <c r="S57" i="5"/>
  <c r="R57" i="5"/>
  <c r="Q57" i="5"/>
  <c r="P57" i="5"/>
  <c r="L57" i="5"/>
  <c r="G57" i="5"/>
  <c r="F57" i="5"/>
  <c r="E57" i="5"/>
  <c r="B57" i="5"/>
  <c r="S56" i="5"/>
  <c r="R56" i="5"/>
  <c r="Q56" i="5"/>
  <c r="P56" i="5"/>
  <c r="L56" i="5"/>
  <c r="H56" i="5"/>
  <c r="G56" i="5"/>
  <c r="F56" i="5"/>
  <c r="E56" i="5"/>
  <c r="B56" i="5"/>
  <c r="S55" i="5"/>
  <c r="R55" i="5"/>
  <c r="Q55" i="5"/>
  <c r="P55" i="5"/>
  <c r="L55" i="5"/>
  <c r="H55" i="5"/>
  <c r="G55" i="5"/>
  <c r="F55" i="5"/>
  <c r="E55" i="5"/>
  <c r="B55" i="5"/>
  <c r="S54" i="5"/>
  <c r="R54" i="5"/>
  <c r="Q54" i="5"/>
  <c r="P54" i="5"/>
  <c r="L54" i="5"/>
  <c r="G54" i="5"/>
  <c r="F54" i="5"/>
  <c r="E54" i="5"/>
  <c r="B54" i="5"/>
  <c r="S53" i="5"/>
  <c r="R53" i="5"/>
  <c r="Q53" i="5"/>
  <c r="P53" i="5"/>
  <c r="L53" i="5"/>
  <c r="G53" i="5"/>
  <c r="F53" i="5"/>
  <c r="E53" i="5"/>
  <c r="B53" i="5"/>
  <c r="S52" i="5"/>
  <c r="R52" i="5"/>
  <c r="Q52" i="5"/>
  <c r="P52" i="5"/>
  <c r="L52" i="5"/>
  <c r="H52" i="5"/>
  <c r="G52" i="5"/>
  <c r="F52" i="5"/>
  <c r="E52" i="5"/>
  <c r="B52" i="5"/>
  <c r="S51" i="5"/>
  <c r="R51" i="5"/>
  <c r="Q51" i="5"/>
  <c r="P51" i="5"/>
  <c r="L51" i="5"/>
  <c r="G51" i="5"/>
  <c r="F51" i="5"/>
  <c r="E51" i="5"/>
  <c r="B51" i="5"/>
  <c r="S50" i="5"/>
  <c r="R50" i="5"/>
  <c r="Q50" i="5"/>
  <c r="P50" i="5"/>
  <c r="L50" i="5"/>
  <c r="G50" i="5"/>
  <c r="F50" i="5"/>
  <c r="E50" i="5"/>
  <c r="B50" i="5"/>
  <c r="S49" i="5"/>
  <c r="R49" i="5"/>
  <c r="Q49" i="5"/>
  <c r="P49" i="5"/>
  <c r="L49" i="5"/>
  <c r="G49" i="5"/>
  <c r="F49" i="5"/>
  <c r="E49" i="5"/>
  <c r="B49" i="5"/>
  <c r="S48" i="5"/>
  <c r="R48" i="5"/>
  <c r="Q48" i="5"/>
  <c r="P48" i="5"/>
  <c r="L48" i="5"/>
  <c r="G48" i="5"/>
  <c r="F48" i="5"/>
  <c r="E48" i="5"/>
  <c r="B48" i="5"/>
  <c r="S47" i="5"/>
  <c r="R47" i="5"/>
  <c r="Q47" i="5"/>
  <c r="P47" i="5"/>
  <c r="L47" i="5"/>
  <c r="G47" i="5"/>
  <c r="F47" i="5"/>
  <c r="E47" i="5"/>
  <c r="B47" i="5"/>
  <c r="S46" i="5"/>
  <c r="R46" i="5"/>
  <c r="Q46" i="5"/>
  <c r="P46" i="5"/>
  <c r="L46" i="5"/>
  <c r="G46" i="5"/>
  <c r="F46" i="5"/>
  <c r="E46" i="5"/>
  <c r="B46" i="5"/>
  <c r="S45" i="5"/>
  <c r="R45" i="5"/>
  <c r="Q45" i="5"/>
  <c r="P45" i="5"/>
  <c r="L45" i="5"/>
  <c r="G45" i="5"/>
  <c r="F45" i="5"/>
  <c r="E45" i="5"/>
  <c r="B45" i="5"/>
  <c r="S44" i="5"/>
  <c r="R44" i="5"/>
  <c r="Q44" i="5"/>
  <c r="P44" i="5"/>
  <c r="L44" i="5"/>
  <c r="G44" i="5"/>
  <c r="F44" i="5"/>
  <c r="E44" i="5"/>
  <c r="B44" i="5"/>
  <c r="S43" i="5"/>
  <c r="R43" i="5"/>
  <c r="Q43" i="5"/>
  <c r="P43" i="5"/>
  <c r="L43" i="5"/>
  <c r="G43" i="5"/>
  <c r="F43" i="5"/>
  <c r="E43" i="5"/>
  <c r="B43" i="5"/>
  <c r="S42" i="5"/>
  <c r="R42" i="5"/>
  <c r="Q42" i="5"/>
  <c r="P42" i="5"/>
  <c r="L42" i="5"/>
  <c r="H42" i="5"/>
  <c r="G42" i="5"/>
  <c r="F42" i="5"/>
  <c r="E42" i="5"/>
  <c r="B42" i="5"/>
  <c r="S41" i="5"/>
  <c r="R41" i="5"/>
  <c r="Q41" i="5"/>
  <c r="P41" i="5"/>
  <c r="L41" i="5"/>
  <c r="G41" i="5"/>
  <c r="F41" i="5"/>
  <c r="E41" i="5"/>
  <c r="B41" i="5"/>
  <c r="S40" i="5"/>
  <c r="R40" i="5"/>
  <c r="Q40" i="5"/>
  <c r="P40" i="5"/>
  <c r="L40" i="5"/>
  <c r="G40" i="5"/>
  <c r="F40" i="5"/>
  <c r="E40" i="5"/>
  <c r="B40" i="5"/>
  <c r="S39" i="5"/>
  <c r="R39" i="5"/>
  <c r="Q39" i="5"/>
  <c r="P39" i="5"/>
  <c r="L39" i="5"/>
  <c r="G39" i="5"/>
  <c r="F39" i="5"/>
  <c r="E39" i="5"/>
  <c r="B39" i="5"/>
  <c r="S38" i="5"/>
  <c r="R38" i="5"/>
  <c r="Q38" i="5"/>
  <c r="P38" i="5"/>
  <c r="L38" i="5"/>
  <c r="G38" i="5"/>
  <c r="F38" i="5"/>
  <c r="E38" i="5"/>
  <c r="B38" i="5"/>
  <c r="S37" i="5"/>
  <c r="R37" i="5"/>
  <c r="Q37" i="5"/>
  <c r="P37" i="5"/>
  <c r="L37" i="5"/>
  <c r="G37" i="5"/>
  <c r="F37" i="5"/>
  <c r="E37" i="5"/>
  <c r="B37" i="5"/>
  <c r="S36" i="5"/>
  <c r="R36" i="5"/>
  <c r="Q36" i="5"/>
  <c r="P36" i="5"/>
  <c r="L36" i="5"/>
  <c r="H36" i="5"/>
  <c r="G36" i="5"/>
  <c r="F36" i="5"/>
  <c r="E36" i="5"/>
  <c r="B36" i="5"/>
  <c r="S35" i="5"/>
  <c r="R35" i="5"/>
  <c r="Q35" i="5"/>
  <c r="P35" i="5"/>
  <c r="L35" i="5"/>
  <c r="H35" i="5"/>
  <c r="G35" i="5"/>
  <c r="F35" i="5"/>
  <c r="E35" i="5"/>
  <c r="B35" i="5"/>
  <c r="S34" i="5"/>
  <c r="R34" i="5"/>
  <c r="Q34" i="5"/>
  <c r="P34" i="5"/>
  <c r="L34" i="5"/>
  <c r="G34" i="5"/>
  <c r="F34" i="5"/>
  <c r="E34" i="5"/>
  <c r="B34" i="5"/>
  <c r="S33" i="5"/>
  <c r="R33" i="5"/>
  <c r="Q33" i="5"/>
  <c r="P33" i="5"/>
  <c r="L33" i="5"/>
  <c r="G33" i="5"/>
  <c r="F33" i="5"/>
  <c r="E33" i="5"/>
  <c r="B33" i="5"/>
  <c r="S32" i="5"/>
  <c r="R32" i="5"/>
  <c r="Q32" i="5"/>
  <c r="P32" i="5"/>
  <c r="L32" i="5"/>
  <c r="H32" i="5"/>
  <c r="G32" i="5"/>
  <c r="F32" i="5"/>
  <c r="E32" i="5"/>
  <c r="B32" i="5"/>
  <c r="S31" i="5"/>
  <c r="R31" i="5"/>
  <c r="Q31" i="5"/>
  <c r="P31" i="5"/>
  <c r="L31" i="5"/>
  <c r="G31" i="5"/>
  <c r="F31" i="5"/>
  <c r="E31" i="5"/>
  <c r="B31" i="5"/>
  <c r="S30" i="5"/>
  <c r="R30" i="5"/>
  <c r="Q30" i="5"/>
  <c r="P30" i="5"/>
  <c r="L30" i="5"/>
  <c r="G30" i="5"/>
  <c r="F30" i="5"/>
  <c r="E30" i="5"/>
  <c r="B30" i="5"/>
  <c r="S29" i="5"/>
  <c r="R29" i="5"/>
  <c r="Q29" i="5"/>
  <c r="P29" i="5"/>
  <c r="L29" i="5"/>
  <c r="H29" i="5"/>
  <c r="G29" i="5"/>
  <c r="F29" i="5"/>
  <c r="E29" i="5"/>
  <c r="B29" i="5"/>
  <c r="S28" i="5"/>
  <c r="R28" i="5"/>
  <c r="Q28" i="5"/>
  <c r="P28" i="5"/>
  <c r="L28" i="5"/>
  <c r="H28" i="5"/>
  <c r="G28" i="5"/>
  <c r="E28" i="5"/>
  <c r="B28" i="5"/>
  <c r="S27" i="5"/>
  <c r="R27" i="5"/>
  <c r="Q27" i="5"/>
  <c r="P27" i="5"/>
  <c r="L27" i="5"/>
  <c r="G27" i="5"/>
  <c r="F27" i="5"/>
  <c r="E27" i="5"/>
  <c r="B27" i="5"/>
  <c r="S26" i="5"/>
  <c r="R26" i="5"/>
  <c r="Q26" i="5"/>
  <c r="P26" i="5"/>
  <c r="L26" i="5"/>
  <c r="G26" i="5"/>
  <c r="F26" i="5"/>
  <c r="E26" i="5"/>
  <c r="B26" i="5"/>
  <c r="S25" i="5"/>
  <c r="R25" i="5"/>
  <c r="Q25" i="5"/>
  <c r="P25" i="5"/>
  <c r="L25" i="5"/>
  <c r="H25" i="5"/>
  <c r="G25" i="5"/>
  <c r="F25" i="5"/>
  <c r="E25" i="5"/>
  <c r="B25" i="5"/>
  <c r="S24" i="5"/>
  <c r="R24" i="5"/>
  <c r="Q24" i="5"/>
  <c r="P24" i="5"/>
  <c r="L24" i="5"/>
  <c r="G24" i="5"/>
  <c r="F24" i="5"/>
  <c r="E24" i="5"/>
  <c r="B24" i="5"/>
  <c r="S23" i="5"/>
  <c r="R23" i="5"/>
  <c r="Q23" i="5"/>
  <c r="P23" i="5"/>
  <c r="L23" i="5"/>
  <c r="G23" i="5"/>
  <c r="F23" i="5"/>
  <c r="E23" i="5"/>
  <c r="B23" i="5"/>
  <c r="S22" i="5"/>
  <c r="R22" i="5"/>
  <c r="Q22" i="5"/>
  <c r="P22" i="5"/>
  <c r="L22" i="5"/>
  <c r="H22" i="5"/>
  <c r="G22" i="5"/>
  <c r="F22" i="5"/>
  <c r="E22" i="5"/>
  <c r="B22" i="5"/>
  <c r="S21" i="5"/>
  <c r="R21" i="5"/>
  <c r="Q21" i="5"/>
  <c r="P21" i="5"/>
  <c r="L21" i="5"/>
  <c r="H21" i="5"/>
  <c r="G21" i="5"/>
  <c r="F21" i="5"/>
  <c r="E21" i="5"/>
  <c r="B21" i="5"/>
  <c r="S20" i="5"/>
  <c r="R20" i="5"/>
  <c r="Q20" i="5"/>
  <c r="P20" i="5"/>
  <c r="L20" i="5"/>
  <c r="G20" i="5"/>
  <c r="F20" i="5"/>
  <c r="E20" i="5"/>
  <c r="B20" i="5"/>
  <c r="S19" i="5"/>
  <c r="R19" i="5"/>
  <c r="Q19" i="5"/>
  <c r="P19" i="5"/>
  <c r="L19" i="5"/>
  <c r="G19" i="5"/>
  <c r="F19" i="5"/>
  <c r="E19" i="5"/>
  <c r="B19" i="5"/>
  <c r="S18" i="5"/>
  <c r="R18" i="5"/>
  <c r="Q18" i="5"/>
  <c r="P18" i="5"/>
  <c r="L18" i="5"/>
  <c r="G18" i="5"/>
  <c r="F18" i="5"/>
  <c r="E18" i="5"/>
  <c r="B18" i="5"/>
  <c r="S17" i="5"/>
  <c r="R17" i="5"/>
  <c r="Q17" i="5"/>
  <c r="P17" i="5"/>
  <c r="L17" i="5"/>
  <c r="G17" i="5"/>
  <c r="F17" i="5"/>
  <c r="E17" i="5"/>
  <c r="B17" i="5"/>
  <c r="S16" i="5"/>
  <c r="R16" i="5"/>
  <c r="Q16" i="5"/>
  <c r="P16" i="5"/>
  <c r="L16" i="5"/>
  <c r="G16" i="5"/>
  <c r="F16" i="5"/>
  <c r="E16" i="5"/>
  <c r="B16" i="5"/>
  <c r="S15" i="5"/>
  <c r="R15" i="5"/>
  <c r="Q15" i="5"/>
  <c r="P15" i="5"/>
  <c r="L15" i="5"/>
  <c r="H15" i="5"/>
  <c r="G15" i="5"/>
  <c r="F15" i="5"/>
  <c r="E15" i="5"/>
  <c r="B15" i="5"/>
  <c r="S14" i="5"/>
  <c r="R14" i="5"/>
  <c r="Q14" i="5"/>
  <c r="P14" i="5"/>
  <c r="L14" i="5"/>
  <c r="H14" i="5"/>
  <c r="G14" i="5"/>
  <c r="F14" i="5"/>
  <c r="E14" i="5"/>
  <c r="B14" i="5"/>
  <c r="S13" i="5"/>
  <c r="R13" i="5"/>
  <c r="Q13" i="5"/>
  <c r="P13" i="5"/>
  <c r="L13" i="5"/>
  <c r="H13" i="5"/>
  <c r="G13" i="5"/>
  <c r="F13" i="5"/>
  <c r="E13" i="5"/>
  <c r="B13" i="5"/>
  <c r="S12" i="5"/>
  <c r="R12" i="5"/>
  <c r="Q12" i="5"/>
  <c r="P12" i="5"/>
  <c r="L12" i="5"/>
  <c r="H12" i="5"/>
  <c r="G12" i="5"/>
  <c r="F12" i="5"/>
  <c r="E12" i="5"/>
  <c r="B12" i="5"/>
  <c r="S11" i="5"/>
  <c r="R11" i="5"/>
  <c r="Q11" i="5"/>
  <c r="P11" i="5"/>
  <c r="L11" i="5"/>
  <c r="G11" i="5"/>
  <c r="F11" i="5"/>
  <c r="E11" i="5"/>
  <c r="B11" i="5"/>
  <c r="S10" i="5"/>
  <c r="R10" i="5"/>
  <c r="Q10" i="5"/>
  <c r="P10" i="5"/>
  <c r="L10" i="5"/>
  <c r="H10" i="5"/>
  <c r="G10" i="5"/>
  <c r="F10" i="5"/>
  <c r="E10" i="5"/>
  <c r="B10" i="5"/>
  <c r="S9" i="5"/>
  <c r="R9" i="5"/>
  <c r="Q9" i="5"/>
  <c r="P9" i="5"/>
  <c r="L9" i="5"/>
  <c r="G9" i="5"/>
  <c r="F9" i="5"/>
  <c r="E9" i="5"/>
  <c r="B9" i="5"/>
  <c r="S8" i="5"/>
  <c r="R8" i="5"/>
  <c r="Q8" i="5"/>
  <c r="P8" i="5"/>
  <c r="L8" i="5"/>
  <c r="G8" i="5"/>
  <c r="F8" i="5"/>
  <c r="E8" i="5"/>
  <c r="B8" i="5"/>
  <c r="S7" i="5"/>
  <c r="R7" i="5"/>
  <c r="Q7" i="5"/>
  <c r="P7" i="5"/>
  <c r="L7" i="5"/>
  <c r="H7" i="5"/>
  <c r="G7" i="5"/>
  <c r="F7" i="5"/>
  <c r="E7" i="5"/>
  <c r="B7" i="5"/>
  <c r="S6" i="5"/>
  <c r="R6" i="5"/>
  <c r="Q6" i="5"/>
  <c r="P6" i="5"/>
  <c r="L6" i="5"/>
  <c r="G6" i="5"/>
  <c r="F6" i="5"/>
  <c r="E6" i="5"/>
  <c r="B6" i="5"/>
  <c r="S5" i="5"/>
  <c r="R5" i="5"/>
  <c r="Q5" i="5"/>
  <c r="P5" i="5"/>
  <c r="L5" i="5"/>
  <c r="G5" i="5"/>
  <c r="E5" i="5"/>
  <c r="B5" i="5"/>
  <c r="S4" i="5"/>
  <c r="R4" i="5"/>
  <c r="Q4" i="5"/>
  <c r="P4" i="5"/>
  <c r="L4" i="5"/>
  <c r="H4" i="5"/>
  <c r="G4" i="5"/>
  <c r="F4" i="5"/>
  <c r="E4" i="5"/>
  <c r="B4" i="5"/>
  <c r="S3" i="5"/>
  <c r="R3" i="5"/>
  <c r="Q3" i="5"/>
  <c r="P3" i="5"/>
  <c r="L3" i="5"/>
  <c r="H3" i="5"/>
  <c r="G3" i="5"/>
  <c r="F3" i="5"/>
  <c r="E3" i="5"/>
  <c r="B3" i="5"/>
  <c r="S2" i="5"/>
  <c r="R2" i="5"/>
  <c r="Q2" i="5"/>
  <c r="P2" i="5"/>
  <c r="L2" i="5"/>
  <c r="H2" i="5"/>
  <c r="G2" i="5"/>
  <c r="F2" i="5"/>
  <c r="E2" i="5"/>
  <c r="B2" i="5"/>
  <c r="H4" i="7"/>
  <c r="F4" i="7"/>
  <c r="D4" i="7"/>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<sst xmlns="http://schemas.openxmlformats.org/spreadsheetml/2006/main" count="1563" uniqueCount="520">
  <si>
    <t>Order_ID</t>
  </si>
  <si>
    <t>Customer_Name</t>
  </si>
  <si>
    <t>Email</t>
  </si>
  <si>
    <t>Phone</t>
  </si>
  <si>
    <t>City</t>
  </si>
  <si>
    <t>Product</t>
  </si>
  <si>
    <t>Category</t>
  </si>
  <si>
    <t>Order_Date</t>
  </si>
  <si>
    <t>Quantity</t>
  </si>
  <si>
    <t>Unit_Price</t>
  </si>
  <si>
    <t>Total_Sales</t>
  </si>
  <si>
    <t>Payment_Method</t>
  </si>
  <si>
    <t>Customer_Status</t>
  </si>
  <si>
    <t>Delivery_Date</t>
  </si>
  <si>
    <t>ORD-1001</t>
  </si>
  <si>
    <t>Mahnoor Khan</t>
  </si>
  <si>
    <t>mahnoor.khan@yahoo.com</t>
  </si>
  <si>
    <t>0369 2458591</t>
  </si>
  <si>
    <t>Lahore</t>
  </si>
  <si>
    <t>Microwave Oven</t>
  </si>
  <si>
    <t>Cash</t>
  </si>
  <si>
    <t>ORD-1002</t>
  </si>
  <si>
    <t>Fahad  Qureshi</t>
  </si>
  <si>
    <t>fahad.qureshi@yahoo.com</t>
  </si>
  <si>
    <t>03482622631</t>
  </si>
  <si>
    <t>Faisalabad</t>
  </si>
  <si>
    <t>Vacuum Cleaner</t>
  </si>
  <si>
    <t>Home Appliances</t>
  </si>
  <si>
    <t>Credit Card</t>
  </si>
  <si>
    <t>Active</t>
  </si>
  <si>
    <t>ORD-1003</t>
  </si>
  <si>
    <t>Waqas Ali</t>
  </si>
  <si>
    <t>waqas.ali@gmail.com</t>
  </si>
  <si>
    <t>03207210606</t>
  </si>
  <si>
    <t>FAISALABAD</t>
  </si>
  <si>
    <t>Headphones</t>
  </si>
  <si>
    <t>ELECTRONICS</t>
  </si>
  <si>
    <t>jazzcash</t>
  </si>
  <si>
    <t>ACTIVE</t>
  </si>
  <si>
    <t>ORD-1004</t>
  </si>
  <si>
    <t>Ayesha Iqbal</t>
  </si>
  <si>
    <t>AYESHA.IQBAL@HOTMAIL.COM</t>
  </si>
  <si>
    <t>0372-6279418</t>
  </si>
  <si>
    <t>PESHAWAR</t>
  </si>
  <si>
    <t>Bookshelf</t>
  </si>
  <si>
    <t>Furniture</t>
  </si>
  <si>
    <t>Bank Transfer</t>
  </si>
  <si>
    <t>active</t>
  </si>
  <si>
    <t>ORD-1005</t>
  </si>
  <si>
    <t>Zainab Ahmed</t>
  </si>
  <si>
    <t>zainab.ahmed@yahoo.com</t>
  </si>
  <si>
    <t>03087455324</t>
  </si>
  <si>
    <t>SIALKOT</t>
  </si>
  <si>
    <t>credit card</t>
  </si>
  <si>
    <t>ORD-1006</t>
  </si>
  <si>
    <t>Kashif Anwar</t>
  </si>
  <si>
    <t>kashif.anwar@gmail.com</t>
  </si>
  <si>
    <t>0377-4337174</t>
  </si>
  <si>
    <t>ISLAMABAD</t>
  </si>
  <si>
    <t>ORD-1007</t>
  </si>
  <si>
    <t>Bushra Ali</t>
  </si>
  <si>
    <t>bushra.ali@yahoo.com</t>
  </si>
  <si>
    <t>0333 9852897</t>
  </si>
  <si>
    <t>RAWALPINDI</t>
  </si>
  <si>
    <t>Study Table</t>
  </si>
  <si>
    <t>FURNITURE</t>
  </si>
  <si>
    <t>ORD-1008</t>
  </si>
  <si>
    <t>Rida Iqbal</t>
  </si>
  <si>
    <t xml:space="preserve"> rida.iqbal@gmail.com</t>
  </si>
  <si>
    <t>0304-6543670</t>
  </si>
  <si>
    <t>cash</t>
  </si>
  <si>
    <t>Inactive</t>
  </si>
  <si>
    <t>ORD-1009</t>
  </si>
  <si>
    <t>Junaid Baig</t>
  </si>
  <si>
    <t>junaid.baig@gmail.com</t>
  </si>
  <si>
    <t>0351-6692553</t>
  </si>
  <si>
    <t>Sunglasses</t>
  </si>
  <si>
    <t>Accessories</t>
  </si>
  <si>
    <t>ORD-1010</t>
  </si>
  <si>
    <t>Nida Sheikh</t>
  </si>
  <si>
    <t>nida.sheikh@outlook.com</t>
  </si>
  <si>
    <t>03481036161</t>
  </si>
  <si>
    <t>sialkot</t>
  </si>
  <si>
    <t>HOME APPLIANCES</t>
  </si>
  <si>
    <t>inactive</t>
  </si>
  <si>
    <t>ORD-1011</t>
  </si>
  <si>
    <t xml:space="preserve">  Anum Sheikh</t>
  </si>
  <si>
    <t>ANUM.SHEIKH@GMAIL.COM</t>
  </si>
  <si>
    <t>0330-7774229</t>
  </si>
  <si>
    <t>Water Dispenser</t>
  </si>
  <si>
    <t>Pending</t>
  </si>
  <si>
    <t>ORD-1012</t>
  </si>
  <si>
    <t>Noor Farooq</t>
  </si>
  <si>
    <t xml:space="preserve"> noor.farooq@gmail.com</t>
  </si>
  <si>
    <t>0312 2229110</t>
  </si>
  <si>
    <t>Electronics</t>
  </si>
  <si>
    <t>pending</t>
  </si>
  <si>
    <t>ORD-1013</t>
  </si>
  <si>
    <t xml:space="preserve">Usman Butt   </t>
  </si>
  <si>
    <t>usman.butt@gmail.com</t>
  </si>
  <si>
    <t>0326-6752576</t>
  </si>
  <si>
    <t xml:space="preserve">  Mobile Phone</t>
  </si>
  <si>
    <t>JazzCash</t>
  </si>
  <si>
    <t>ORD-1014</t>
  </si>
  <si>
    <t>Mahnoor Ali</t>
  </si>
  <si>
    <t>mahnoor.ali@yahoo.com</t>
  </si>
  <si>
    <t>Multan</t>
  </si>
  <si>
    <t>CASH</t>
  </si>
  <si>
    <t>ORD-1015</t>
  </si>
  <si>
    <t xml:space="preserve">Junaid Khan   </t>
  </si>
  <si>
    <t>junaid.khan@hotmail.com</t>
  </si>
  <si>
    <t>03945163555</t>
  </si>
  <si>
    <t xml:space="preserve"> Karachi</t>
  </si>
  <si>
    <t>Blender</t>
  </si>
  <si>
    <t>ORD-1016</t>
  </si>
  <si>
    <t>Rabia Javed</t>
  </si>
  <si>
    <t>rabia.javed@outlook.com</t>
  </si>
  <si>
    <t>03032935113</t>
  </si>
  <si>
    <t>accessories</t>
  </si>
  <si>
    <t>ORD-1017</t>
  </si>
  <si>
    <t>Anum Siddiqui</t>
  </si>
  <si>
    <t>ANUM.SIDDIQUI@YAHOO.COM</t>
  </si>
  <si>
    <t>0342 6266630</t>
  </si>
  <si>
    <t>ORD-1018</t>
  </si>
  <si>
    <t xml:space="preserve">Ali Chaudhry   </t>
  </si>
  <si>
    <t>ali.chaudhry@outlook.com</t>
  </si>
  <si>
    <t>0356 8418210</t>
  </si>
  <si>
    <t>electronics</t>
  </si>
  <si>
    <t>ORD-1019</t>
  </si>
  <si>
    <t>Faisal Awan</t>
  </si>
  <si>
    <t>faisal.awan@gmail.com</t>
  </si>
  <si>
    <t>03917442089</t>
  </si>
  <si>
    <t>Smart Watch</t>
  </si>
  <si>
    <t>ORD-1020</t>
  </si>
  <si>
    <t>anum.siddiqui@outlook.com</t>
  </si>
  <si>
    <t>0370-8481188</t>
  </si>
  <si>
    <t>Sofa Set</t>
  </si>
  <si>
    <t>ORD-1021</t>
  </si>
  <si>
    <t xml:space="preserve">  Danish Ali</t>
  </si>
  <si>
    <t>danish.ali@yahoo.com</t>
  </si>
  <si>
    <t>03537838382</t>
  </si>
  <si>
    <t>Peshawar</t>
  </si>
  <si>
    <t>ORD-1022</t>
  </si>
  <si>
    <t>Junaid Siddiqui</t>
  </si>
  <si>
    <t>junaid.siddiqui@yahoo.com</t>
  </si>
  <si>
    <t>0349 6639317</t>
  </si>
  <si>
    <t>Wrist Watch</t>
  </si>
  <si>
    <t>bank transfer</t>
  </si>
  <si>
    <t>ORD-1023</t>
  </si>
  <si>
    <t>Kashif  Aslam</t>
  </si>
  <si>
    <t>kashif.aslam@outlook.com</t>
  </si>
  <si>
    <t>03968072684</t>
  </si>
  <si>
    <t>Sialkot</t>
  </si>
  <si>
    <t>Mobile Phone </t>
  </si>
  <si>
    <t>ORD-1024</t>
  </si>
  <si>
    <t>Mahnoor Rana</t>
  </si>
  <si>
    <t>mahnoor.rana@outlook.com</t>
  </si>
  <si>
    <t>0377-2921542</t>
  </si>
  <si>
    <t>Karachi</t>
  </si>
  <si>
    <t>Air Fryer</t>
  </si>
  <si>
    <t>ORD-1025</t>
  </si>
  <si>
    <t>Umar Malik</t>
  </si>
  <si>
    <t>umar.malik@gmail.com</t>
  </si>
  <si>
    <t>0364-6724909</t>
  </si>
  <si>
    <t>Jacket</t>
  </si>
  <si>
    <t>APPAREL</t>
  </si>
  <si>
    <t>ORD-1026</t>
  </si>
  <si>
    <t>Noor Qureshi</t>
  </si>
  <si>
    <t>noor.qureshi@hotmail.com</t>
  </si>
  <si>
    <t>0335-8563202</t>
  </si>
  <si>
    <t>T-Shirt</t>
  </si>
  <si>
    <t>Apparel</t>
  </si>
  <si>
    <t>ORD-1027</t>
  </si>
  <si>
    <t>Junaid Abbasi</t>
  </si>
  <si>
    <t>junaid.abbasi@yahoo.com</t>
  </si>
  <si>
    <t>03022561176</t>
  </si>
  <si>
    <t>rawalpindi</t>
  </si>
  <si>
    <t>apparel</t>
  </si>
  <si>
    <t>ORD-1028</t>
  </si>
  <si>
    <t xml:space="preserve">  Zeeshan Farooq</t>
  </si>
  <si>
    <t>zeeshan.farooq@yahoo.com</t>
  </si>
  <si>
    <t>0375 9801946</t>
  </si>
  <si>
    <t>karachi</t>
  </si>
  <si>
    <t>ORD-1072</t>
  </si>
  <si>
    <t>Zeeshan Sheikh</t>
  </si>
  <si>
    <t>03509479950</t>
  </si>
  <si>
    <t>Mobile Phone</t>
  </si>
  <si>
    <t>ORD-1029</t>
  </si>
  <si>
    <t xml:space="preserve">Ali Rana   </t>
  </si>
  <si>
    <t>ali.rana@outlook.com</t>
  </si>
  <si>
    <t>0361-2914064</t>
  </si>
  <si>
    <t>home appliances</t>
  </si>
  <si>
    <t>ORD-1030</t>
  </si>
  <si>
    <t>Asad Chaudhry</t>
  </si>
  <si>
    <t>asad.chaudhry@outlook.com</t>
  </si>
  <si>
    <t>0394-2664863</t>
  </si>
  <si>
    <t>ORD-1031</t>
  </si>
  <si>
    <t>Noor Ali</t>
  </si>
  <si>
    <t>noor.ali@hotmail.com</t>
  </si>
  <si>
    <t>0325-8132648</t>
  </si>
  <si>
    <t>islamabad</t>
  </si>
  <si>
    <t>ORD-1032</t>
  </si>
  <si>
    <t>Rabia Anwar</t>
  </si>
  <si>
    <t xml:space="preserve"> RABIA.ANWAR@OUTLOOK.COM</t>
  </si>
  <si>
    <t>0341-5200476</t>
  </si>
  <si>
    <t>LAHORE</t>
  </si>
  <si>
    <t>Office Chair</t>
  </si>
  <si>
    <t>furniture</t>
  </si>
  <si>
    <t>ORD-1033</t>
  </si>
  <si>
    <t>Usman  Sheikh</t>
  </si>
  <si>
    <t>usman.sheikh@outlook.com</t>
  </si>
  <si>
    <t>03701615675</t>
  </si>
  <si>
    <t>faisalabad</t>
  </si>
  <si>
    <t>Handbag </t>
  </si>
  <si>
    <t>ACCESSORIES</t>
  </si>
  <si>
    <t>ORD-1034</t>
  </si>
  <si>
    <t xml:space="preserve">Asad Ahmed   </t>
  </si>
  <si>
    <t>asad.ahmed@yahoo.com</t>
  </si>
  <si>
    <t>0315 1484348</t>
  </si>
  <si>
    <t>ORD-1035</t>
  </si>
  <si>
    <t>Rabia Qureshi</t>
  </si>
  <si>
    <t>rabia.qureshi@outlook.com</t>
  </si>
  <si>
    <t>0376 9526867</t>
  </si>
  <si>
    <t>KARACHI</t>
  </si>
  <si>
    <t>ORD-1036</t>
  </si>
  <si>
    <t>Asad Siddiqui</t>
  </si>
  <si>
    <t>asad.siddiqui@hotmail.com</t>
  </si>
  <si>
    <t>0341 4165061</t>
  </si>
  <si>
    <t>ORD-1037</t>
  </si>
  <si>
    <t xml:space="preserve">  Usman Baig</t>
  </si>
  <si>
    <t xml:space="preserve"> usman.baig@outlook.com</t>
  </si>
  <si>
    <t>03192255409</t>
  </si>
  <si>
    <t>Handbag</t>
  </si>
  <si>
    <t>ORD-1038</t>
  </si>
  <si>
    <t>Nida Chaudhry</t>
  </si>
  <si>
    <t>nida.chaudhry@gmail.com</t>
  </si>
  <si>
    <t>0312-8443690</t>
  </si>
  <si>
    <t>ORD-1039</t>
  </si>
  <si>
    <t>Nida Abbasi</t>
  </si>
  <si>
    <t>nida.abbasi@yahoo.com</t>
  </si>
  <si>
    <t>03851157662</t>
  </si>
  <si>
    <t>Islamabad</t>
  </si>
  <si>
    <t>ORD-1040</t>
  </si>
  <si>
    <t>Naveed Chaudhry</t>
  </si>
  <si>
    <t xml:space="preserve"> naveed.chaudhry@hotmail.com</t>
  </si>
  <si>
    <t>0301 1822825</t>
  </si>
  <si>
    <t>ORD-1041</t>
  </si>
  <si>
    <t>Asad Ahmed</t>
  </si>
  <si>
    <t xml:space="preserve"> asad.ahmed@yahoo.com</t>
  </si>
  <si>
    <t>0322-4368777</t>
  </si>
  <si>
    <t>MULTAN</t>
  </si>
  <si>
    <t>ORD-1042</t>
  </si>
  <si>
    <t>Tariq Aslam</t>
  </si>
  <si>
    <t xml:space="preserve"> tariq.aslam@hotmail.com</t>
  </si>
  <si>
    <t>03158630043</t>
  </si>
  <si>
    <t>ORD-1043</t>
  </si>
  <si>
    <t xml:space="preserve">  Hira Qureshi</t>
  </si>
  <si>
    <t>hira.qureshi@gmail.com</t>
  </si>
  <si>
    <t>0312 4939290</t>
  </si>
  <si>
    <t>ORD-1044</t>
  </si>
  <si>
    <t>Komal Raza</t>
  </si>
  <si>
    <t>komal.raza@yahoo.com</t>
  </si>
  <si>
    <t>0369-7017548</t>
  </si>
  <si>
    <t>Rawalpindi</t>
  </si>
  <si>
    <t>ORD-1045</t>
  </si>
  <si>
    <t>Rida Raza</t>
  </si>
  <si>
    <t>rida.raza@yahoo.com</t>
  </si>
  <si>
    <t>0300-5651899</t>
  </si>
  <si>
    <t>Laptop</t>
  </si>
  <si>
    <t>ORD-1046</t>
  </si>
  <si>
    <t>Bilal Abbasi</t>
  </si>
  <si>
    <t>bilal.abbasi@hotmail.com</t>
  </si>
  <si>
    <t>0378 1727544</t>
  </si>
  <si>
    <t>ORD-1089</t>
  </si>
  <si>
    <t>Ali Raza</t>
  </si>
  <si>
    <t>ali.raza@gmail.com</t>
  </si>
  <si>
    <t>03894431161</t>
  </si>
  <si>
    <t>multan</t>
  </si>
  <si>
    <t>ORD-1047</t>
  </si>
  <si>
    <t>Rabia Awan</t>
  </si>
  <si>
    <t>rabia.awan@hotmail.com</t>
  </si>
  <si>
    <t>0364-8217547</t>
  </si>
  <si>
    <t>ORD-1048</t>
  </si>
  <si>
    <t xml:space="preserve">  Faisal Ali</t>
  </si>
  <si>
    <t xml:space="preserve"> faisal.ali@gmail.com</t>
  </si>
  <si>
    <t>0316 2006313</t>
  </si>
  <si>
    <t>ORD-1049</t>
  </si>
  <si>
    <t>Faisal Iqbal</t>
  </si>
  <si>
    <t>faisal.iqbal@hotmail.com</t>
  </si>
  <si>
    <t>03734794319</t>
  </si>
  <si>
    <t>ORD-1050</t>
  </si>
  <si>
    <t>Sara Ali</t>
  </si>
  <si>
    <t>sara.ali@yahoo.com</t>
  </si>
  <si>
    <t>0339 6442241</t>
  </si>
  <si>
    <t>lahore</t>
  </si>
  <si>
    <t>ORD-1051</t>
  </si>
  <si>
    <t xml:space="preserve">Sadia Malik   </t>
  </si>
  <si>
    <t>sadia.malik@outlook.com</t>
  </si>
  <si>
    <t>0376-1919088</t>
  </si>
  <si>
    <t>Running Shoes</t>
  </si>
  <si>
    <t>ORD-1052</t>
  </si>
  <si>
    <t>Bilal Aslam</t>
  </si>
  <si>
    <t>bilal.aslam@gmail.com</t>
  </si>
  <si>
    <t>0340 8202195</t>
  </si>
  <si>
    <t>peshawar</t>
  </si>
  <si>
    <t>ORD-1053</t>
  </si>
  <si>
    <t>Zainab Aslam</t>
  </si>
  <si>
    <t>zainab.aslam@hotmail.com</t>
  </si>
  <si>
    <t>0381 2913049</t>
  </si>
  <si>
    <t>LED TV</t>
  </si>
  <si>
    <t>ORD-1054</t>
  </si>
  <si>
    <t>Asad Rana</t>
  </si>
  <si>
    <t>asad.rana@hotmail.com</t>
  </si>
  <si>
    <t>03088867190</t>
  </si>
  <si>
    <t xml:space="preserve">  Microwave Oven</t>
  </si>
  <si>
    <t>ORD-1055</t>
  </si>
  <si>
    <t>Hamza Baig</t>
  </si>
  <si>
    <t>hamza.baig@yahoo.com</t>
  </si>
  <si>
    <t>0307-8558523</t>
  </si>
  <si>
    <t>ORD-1056</t>
  </si>
  <si>
    <t xml:space="preserve">  Maryam Awan</t>
  </si>
  <si>
    <t xml:space="preserve"> maryam.awan@hotmail.com</t>
  </si>
  <si>
    <t>0336 5227787</t>
  </si>
  <si>
    <t>ORD-1075</t>
  </si>
  <si>
    <t>Mahnoor Qureshi</t>
  </si>
  <si>
    <t>mahnoor.qureshi@gmail.com</t>
  </si>
  <si>
    <t>0399 4817541</t>
  </si>
  <si>
    <t xml:space="preserve">  Water Dispenser</t>
  </si>
  <si>
    <t>ORD-1057</t>
  </si>
  <si>
    <t xml:space="preserve">  Hassan Anwar</t>
  </si>
  <si>
    <t>HASSAN.ANWAR@OUTLOOK.COM</t>
  </si>
  <si>
    <t>03276733317</t>
  </si>
  <si>
    <t>ORD-1058</t>
  </si>
  <si>
    <t>Warda Sheikh</t>
  </si>
  <si>
    <t>warda.sheikh@gmail.com</t>
  </si>
  <si>
    <t>0356 5780297</t>
  </si>
  <si>
    <t>ORD-1059</t>
  </si>
  <si>
    <t>Umar Butt</t>
  </si>
  <si>
    <t>umar.butt@gmail.com</t>
  </si>
  <si>
    <t>0313-9655523</t>
  </si>
  <si>
    <t>ORD-1060</t>
  </si>
  <si>
    <t xml:space="preserve">Zainab Javed   </t>
  </si>
  <si>
    <t>zainab.javed@hotmail.com</t>
  </si>
  <si>
    <t>0318-3308538</t>
  </si>
  <si>
    <t xml:space="preserve">  Blender</t>
  </si>
  <si>
    <t>ORD-1061</t>
  </si>
  <si>
    <t xml:space="preserve">  Hira Malik</t>
  </si>
  <si>
    <t>hira.malik@outlook.com</t>
  </si>
  <si>
    <t>0363-9993490</t>
  </si>
  <si>
    <t>ORD-1062</t>
  </si>
  <si>
    <t xml:space="preserve">  Salman Siddiqui</t>
  </si>
  <si>
    <t xml:space="preserve"> salman.siddiqui@outlook.com</t>
  </si>
  <si>
    <t>03951272499</t>
  </si>
  <si>
    <t xml:space="preserve">  Smart Watch</t>
  </si>
  <si>
    <t>ORD-1063</t>
  </si>
  <si>
    <t>Hassan Ali</t>
  </si>
  <si>
    <t xml:space="preserve"> hassan.ali@outlook.com</t>
  </si>
  <si>
    <t>03056294819</t>
  </si>
  <si>
    <t>ORD-1064</t>
  </si>
  <si>
    <t>Imran Farooq</t>
  </si>
  <si>
    <t>imran.farooq@outlook.com</t>
  </si>
  <si>
    <t>0334 2385991</t>
  </si>
  <si>
    <t>ORD-1065</t>
  </si>
  <si>
    <t>Hamza Javed</t>
  </si>
  <si>
    <t>hamza.javed@outlook.com</t>
  </si>
  <si>
    <t>03097815076</t>
  </si>
  <si>
    <t xml:space="preserve">  Water Dispenser </t>
  </si>
  <si>
    <t>ORD-1066</t>
  </si>
  <si>
    <t>Asad Javed</t>
  </si>
  <si>
    <t>asad.javed@gmail.com</t>
  </si>
  <si>
    <t>0383-5675638</t>
  </si>
  <si>
    <t>ORD-1067</t>
  </si>
  <si>
    <t>Amna Baig</t>
  </si>
  <si>
    <t>amna.baig@hotmail.com</t>
  </si>
  <si>
    <t>0337-6032437</t>
  </si>
  <si>
    <t>ORD-1068</t>
  </si>
  <si>
    <t>Zainab  Ali</t>
  </si>
  <si>
    <t>zainab.ali@outlook.com</t>
  </si>
  <si>
    <t>03093102634</t>
  </si>
  <si>
    <t>ORD-1069</t>
  </si>
  <si>
    <t>Fahad  Sheikh</t>
  </si>
  <si>
    <t>fahad.sheikh@yahoo.com</t>
  </si>
  <si>
    <t>0310-5204459</t>
  </si>
  <si>
    <t>ORD-1070</t>
  </si>
  <si>
    <t>Naveed Ahmed</t>
  </si>
  <si>
    <t xml:space="preserve"> naveed.ahmed@gmail.com</t>
  </si>
  <si>
    <t>0333 4536777</t>
  </si>
  <si>
    <t xml:space="preserve">Lahore </t>
  </si>
  <si>
    <t>ORD-1071</t>
  </si>
  <si>
    <t xml:space="preserve">Faisal Baig   </t>
  </si>
  <si>
    <t>faisal.baig@yahoo.com</t>
  </si>
  <si>
    <t>0344-7689354</t>
  </si>
  <si>
    <t>ORD-1073</t>
  </si>
  <si>
    <t xml:space="preserve">  Farah Javed</t>
  </si>
  <si>
    <t>farah.javed@gmail.com</t>
  </si>
  <si>
    <t>0309 7481857</t>
  </si>
  <si>
    <t>ORD-1074</t>
  </si>
  <si>
    <t xml:space="preserve">  Hamza Ahmed</t>
  </si>
  <si>
    <t>hamza.ahmed@hotmail.com</t>
  </si>
  <si>
    <t>03653345135</t>
  </si>
  <si>
    <t>ORD-1076</t>
  </si>
  <si>
    <t>Iqra Qureshi</t>
  </si>
  <si>
    <t>iqra.qureshi@outlook.com</t>
  </si>
  <si>
    <t>0317-9702060</t>
  </si>
  <si>
    <t>ORD-1077</t>
  </si>
  <si>
    <t>Hira Iqbal</t>
  </si>
  <si>
    <t>hira.iqbal@hotmail.com</t>
  </si>
  <si>
    <t>03626319061</t>
  </si>
  <si>
    <t>ORD-1078</t>
  </si>
  <si>
    <t>Asad Hussain</t>
  </si>
  <si>
    <t>asad.hussain@yahoo.com</t>
  </si>
  <si>
    <t>0389-5557052</t>
  </si>
  <si>
    <t>Microwave Oven </t>
  </si>
  <si>
    <t>ORD-1079</t>
  </si>
  <si>
    <t>Fahad Qureshi</t>
  </si>
  <si>
    <t>fahad.qureshi@outlook.com</t>
  </si>
  <si>
    <t>0341 5788474</t>
  </si>
  <si>
    <t>ORD-1080</t>
  </si>
  <si>
    <t>umar.malik@hotmail.com</t>
  </si>
  <si>
    <t>0363 3251501</t>
  </si>
  <si>
    <t>ORD-1081</t>
  </si>
  <si>
    <t>Farah Qureshi</t>
  </si>
  <si>
    <t>farah.qureshi@gmail.com</t>
  </si>
  <si>
    <t xml:space="preserve">  Bookshelf</t>
  </si>
  <si>
    <t>ORD-1082</t>
  </si>
  <si>
    <t>Salman Chaudhry</t>
  </si>
  <si>
    <t>salman.chaudhry@hotmail.com</t>
  </si>
  <si>
    <t>03613570027</t>
  </si>
  <si>
    <t>ORD-1083</t>
  </si>
  <si>
    <t xml:space="preserve">  Naveed Malik</t>
  </si>
  <si>
    <t>naveed.malik@yahoo.com</t>
  </si>
  <si>
    <t>0366-8412854</t>
  </si>
  <si>
    <t>ORD-1084</t>
  </si>
  <si>
    <t>ORD-1085</t>
  </si>
  <si>
    <t>Amna Siddiqui</t>
  </si>
  <si>
    <t>03026005700</t>
  </si>
  <si>
    <t>ORD-1086</t>
  </si>
  <si>
    <t>Bilal Malik</t>
  </si>
  <si>
    <t>03941742169</t>
  </si>
  <si>
    <t>ORD-1087</t>
  </si>
  <si>
    <t xml:space="preserve">Junaid Chaudhry   </t>
  </si>
  <si>
    <t>junaid.chaudhry@yahoo.com</t>
  </si>
  <si>
    <t>0344 7394713</t>
  </si>
  <si>
    <t>ORD-1088</t>
  </si>
  <si>
    <t xml:space="preserve">Hassan Aslam   </t>
  </si>
  <si>
    <t>HASSAN.ASLAM@YAHOO.COM</t>
  </si>
  <si>
    <t>0347 2551288</t>
  </si>
  <si>
    <t>Water Dispenser </t>
  </si>
  <si>
    <t>ORD-1090</t>
  </si>
  <si>
    <t>Hamza Rana</t>
  </si>
  <si>
    <t xml:space="preserve"> hamza.rana@yahoo.com</t>
  </si>
  <si>
    <t>03928005797</t>
  </si>
  <si>
    <t>ORD-1091</t>
  </si>
  <si>
    <t xml:space="preserve">Danish Abbasi   </t>
  </si>
  <si>
    <t>danish.abbasi@gmail.com</t>
  </si>
  <si>
    <t>0385-1813936</t>
  </si>
  <si>
    <t>ORD-1092</t>
  </si>
  <si>
    <t>Ali Khan</t>
  </si>
  <si>
    <t>ali.khan@hotmail.com</t>
  </si>
  <si>
    <t>0389-8223819</t>
  </si>
  <si>
    <t>ORD-1093</t>
  </si>
  <si>
    <t xml:space="preserve">  Zainab Ahmed</t>
  </si>
  <si>
    <t>zainab.ahmed@outlook.com</t>
  </si>
  <si>
    <t>0389-3875339</t>
  </si>
  <si>
    <t>ORD-1094</t>
  </si>
  <si>
    <t>Danish Rana</t>
  </si>
  <si>
    <t>danish.rana@yahoo.com</t>
  </si>
  <si>
    <t>0375 3419132</t>
  </si>
  <si>
    <t>ORD-1095</t>
  </si>
  <si>
    <t>Sadia Iqbal</t>
  </si>
  <si>
    <t>sadia.iqbal@hotmail.com</t>
  </si>
  <si>
    <t>0399-6475691</t>
  </si>
  <si>
    <t>ORD-1096</t>
  </si>
  <si>
    <t>Sana  Aslam</t>
  </si>
  <si>
    <t xml:space="preserve"> sana.aslam@gmail.com</t>
  </si>
  <si>
    <t>0397-5525929</t>
  </si>
  <si>
    <t>Vacuum Cleaner </t>
  </si>
  <si>
    <t>ORD-1097</t>
  </si>
  <si>
    <t>Zainab Siddiqui</t>
  </si>
  <si>
    <t>zainab.siddiqui@yahoo.com</t>
  </si>
  <si>
    <t>03175511711</t>
  </si>
  <si>
    <t>ORD-1098</t>
  </si>
  <si>
    <t>Ali  Aslam</t>
  </si>
  <si>
    <t>ali.aslam@outlook.com</t>
  </si>
  <si>
    <t>03833283789</t>
  </si>
  <si>
    <t>ORD-1099</t>
  </si>
  <si>
    <t>Naveed Raza</t>
  </si>
  <si>
    <t>naveed.raza@yahoo.com</t>
  </si>
  <si>
    <t>03594517316</t>
  </si>
  <si>
    <t>ORD-1100</t>
  </si>
  <si>
    <t xml:space="preserve">  Junaid Siddiqui</t>
  </si>
  <si>
    <t>junaid.siddiqui@hotmail.com</t>
  </si>
  <si>
    <t>0310-2834914</t>
  </si>
  <si>
    <t>Note: this sheet is intentionally messy (inconsistent casing, spacing, phone formats, date display formats, missing values, and duplicate rows) for Day 3 cleaning practice. See Cleaning_Log for the full list of issues and how each was fixed in Cleaned_Data.</t>
  </si>
  <si>
    <t>Not Provided</t>
  </si>
  <si>
    <t>Unknown</t>
  </si>
  <si>
    <t>Not Specified</t>
  </si>
  <si>
    <t>Phone_Cleaned</t>
  </si>
  <si>
    <t>Order_Prefix (Left)</t>
  </si>
  <si>
    <t>Order_Number (Right)</t>
  </si>
  <si>
    <t>Separator_Position</t>
  </si>
  <si>
    <t>MID_Number</t>
  </si>
  <si>
    <t>Row Labels</t>
  </si>
  <si>
    <t>Grand Total</t>
  </si>
  <si>
    <t>Sum of Total_Sales</t>
  </si>
  <si>
    <t>Jul</t>
  </si>
  <si>
    <t>Aug</t>
  </si>
  <si>
    <t>2026</t>
  </si>
  <si>
    <t>anum.siddiqui@yahoo.com</t>
  </si>
  <si>
    <t>hassan.anwar@outlook.com</t>
  </si>
  <si>
    <t>ayesha.iqbal@hotmail.com</t>
  </si>
  <si>
    <t>noor.farooq@gmail.com</t>
  </si>
  <si>
    <t>rabia.anwar@outlook.com</t>
  </si>
  <si>
    <t xml:space="preserve"> rabia.anwar@outlook.com</t>
  </si>
  <si>
    <t>anum.sheikh@gmail.com</t>
  </si>
  <si>
    <t>InActive</t>
  </si>
  <si>
    <t>Total Sales</t>
  </si>
  <si>
    <t>Total Orders</t>
  </si>
  <si>
    <t>Total Quantity</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</si>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</sst>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1" formatCode="_(* #,##0_);_(* \(#,##0\);_(* &quot;-&quot;_);_(@_)"/>
    <numFmt numFmtId="43" formatCode="_(* #,##0.00_);_(* \(#,##0.00\);_(* &quot;-&quot;??_);_(@_)"/>
    <numFmt numFmtId="164" formatCode="dd/mm/yyyy"/>
    <numFmt numFmtId="165" formatCode="&quot;PKR &quot;#,##0"/>
    <numFmt numFmtId="166" formatCode="mm\-dd\-yyyy"/>
    <numFmt numFmtId="167" formatCode="yyyy/mm/dd"/>
    <numFmt numFmtId="168" formatCode="[$-409]d\-mmm\-yy;@"/>
    <numFmt numFmtId="169" formatCode="[$-409]dd\-mmm\-yy;@"/>
    <numFmt numFmtId="170" formatCode="_-[$Rs-846]\ * #,##0_-;\-[$Rs-846]\ * #,##0_-;_-[$Rs-846]\ * &quot;-&quot;_-;_-@_-"/>
    <numFmt numFmtId="171" formatCode="_(* #,##0_);_(* \(#,##0\);_(* &quot;-&quot;??_);_(@_)"/>
  </numFmts>
  <fonts count="11" x14ac:knownFonts="1">
    <font>
      <sz val="11"/>
      <color theme="1"/>
      <name val="Calibri"/>
      <family val="2"/>
      <charset val="1"/>
    </font>
    <font>
      <b/>
      <sz val="11"/>
      <color rgb="FFFFFFFF"/>
      <name val="Arial"/>
      <charset val="1"/>
    </font>
    <font>
      <sz val="10"/>
      <name val="Arial"/>
      <charset val="1"/>
    </font>
    <font>
      <i/>
      <sz val="10"/>
      <color rgb="FF808080"/>
      <name val="Arial"/>
      <charset val="1"/>
    </font>
    <font>
      <sz val="11"/>
      <color theme="1"/>
      <name val="Calibri"/>
      <family val="2"/>
      <charset val="1"/>
    </font>
    <font>
      <b/>
      <sz val="20"/>
      <color theme="0"/>
      <name val="Calibri"/>
      <family val="2"/>
    </font>
    <font>
      <b/>
      <sz val="11"/>
      <color theme="1"/>
      <name val="Calibri"/>
      <family val="2"/>
    </font>
    <font>
      <b/>
      <sz val="16"/>
      <color rgb="FF2F65B0"/>
      <name val="Calibri"/>
      <family val="2"/>
    </font>
    <font>
      <b/>
      <sz val="18"/>
      <color rgb="FF5B9E3E"/>
      <name val="Calibri"/>
      <family val="2"/>
    </font>
    <font>
      <b/>
      <sz val="18"/>
      <color rgb="FF7650B8"/>
      <name val="Calibri"/>
      <family val="2"/>
    </font>
    <font>
      <b/>
      <sz val="16"/>
      <color rgb="FFE87512"/>
      <name val="Calibri"/>
      <family val="2"/>
    </font>
  </fonts>
  <fills count="4">
    <fill>
      <patternFill patternType="none"/>
    </fill>
    <fill>
      <patternFill patternType="gray125"/>
    </fill>
    <fill>
      <patternFill patternType="solid">
        <fgColor rgb="FF1F4E78"/>
        <bgColor rgb="FF003366"/>
      </patternFill>
    </fill>
    <fill>
      <patternFill patternType="solid">
        <fgColor rgb="FFF5F7FA"/>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43" fontId="4" fillId="0" borderId="0" applyFont="0" applyFill="0" applyBorder="0" applyAlignment="0" applyProtection="0"/>
  </cellStyleXfs>
  <cellXfs count="45">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6" fontId="2" fillId="0" borderId="1" xfId="0" applyNumberFormat="1" applyFont="1" applyBorder="1"/>
    <xf numFmtId="167" fontId="2" fillId="0" borderId="1" xfId="0" applyNumberFormat="1" applyFont="1" applyBorder="1"/>
    <xf numFmtId="0" fontId="3" fillId="0" borderId="0" xfId="0" applyFont="1"/>
    <xf numFmtId="0" fontId="2" fillId="0" borderId="1" xfId="0" applyFont="1" applyBorder="1" applyAlignment="1">
      <alignment horizontal="left"/>
    </xf>
    <xf numFmtId="0" fontId="0" fillId="0" borderId="1" xfId="0" applyBorder="1"/>
    <xf numFmtId="0" fontId="0" fillId="0" borderId="2" xfId="0" applyBorder="1"/>
    <xf numFmtId="0" fontId="1" fillId="2" borderId="2" xfId="0" applyFont="1" applyFill="1" applyBorder="1" applyAlignment="1">
      <alignment horizontal="center" vertical="center"/>
    </xf>
    <xf numFmtId="168" fontId="1" fillId="2" borderId="1" xfId="0" applyNumberFormat="1" applyFont="1" applyFill="1" applyBorder="1" applyAlignment="1">
      <alignment horizontal="center" vertical="center"/>
    </xf>
    <xf numFmtId="168" fontId="2" fillId="0" borderId="1" xfId="0" applyNumberFormat="1" applyFont="1" applyBorder="1" applyAlignment="1">
      <alignment horizontal="center"/>
    </xf>
    <xf numFmtId="168" fontId="0" fillId="0" borderId="1" xfId="0" applyNumberFormat="1" applyBorder="1" applyAlignment="1">
      <alignment horizontal="center"/>
    </xf>
    <xf numFmtId="168" fontId="0" fillId="0" borderId="0" xfId="0" applyNumberFormat="1" applyAlignment="1">
      <alignment horizontal="center"/>
    </xf>
    <xf numFmtId="169" fontId="1" fillId="2" borderId="1" xfId="0" applyNumberFormat="1" applyFont="1" applyFill="1" applyBorder="1" applyAlignment="1">
      <alignment horizontal="center" vertical="center"/>
    </xf>
    <xf numFmtId="169" fontId="2" fillId="0" borderId="1" xfId="0" applyNumberFormat="1" applyFont="1" applyBorder="1" applyAlignment="1">
      <alignment horizontal="center"/>
    </xf>
    <xf numFmtId="169" fontId="0" fillId="0" borderId="1" xfId="0" applyNumberFormat="1" applyBorder="1" applyAlignment="1">
      <alignment horizontal="center"/>
    </xf>
    <xf numFmtId="169" fontId="0" fillId="0" borderId="0" xfId="0" applyNumberFormat="1" applyAlignment="1">
      <alignment horizontal="center"/>
    </xf>
    <xf numFmtId="41" fontId="1" fillId="2" borderId="1" xfId="0" applyNumberFormat="1" applyFont="1" applyFill="1" applyBorder="1" applyAlignment="1">
      <alignment horizontal="center" vertical="center"/>
    </xf>
    <xf numFmtId="41" fontId="2" fillId="0" borderId="1" xfId="0" applyNumberFormat="1" applyFont="1" applyBorder="1"/>
    <xf numFmtId="41" fontId="0" fillId="0" borderId="1" xfId="0" applyNumberFormat="1" applyBorder="1"/>
    <xf numFmtId="41" fontId="0" fillId="0" borderId="0" xfId="0" applyNumberFormat="1"/>
    <xf numFmtId="170" fontId="1" fillId="2" borderId="1" xfId="0" applyNumberFormat="1" applyFont="1" applyFill="1" applyBorder="1" applyAlignment="1">
      <alignment horizontal="center" vertical="center"/>
    </xf>
    <xf numFmtId="170" fontId="2" fillId="0" borderId="1" xfId="0" applyNumberFormat="1" applyFont="1" applyBorder="1"/>
    <xf numFmtId="170" fontId="0" fillId="0" borderId="1" xfId="0" applyNumberFormat="1" applyBorder="1"/>
    <xf numFmtId="170" fontId="0" fillId="0" borderId="0" xfId="0" applyNumberFormat="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5" fillId="0" borderId="0" xfId="0" applyFont="1"/>
    <xf numFmtId="1" fontId="10" fillId="3" borderId="0" xfId="1" applyNumberFormat="1" applyFont="1" applyFill="1" applyBorder="1" applyAlignment="1">
      <alignment vertical="center"/>
    </xf>
    <xf numFmtId="0" fontId="6" fillId="3" borderId="0" xfId="0" applyFont="1" applyFill="1"/>
    <xf numFmtId="0" fontId="8" fillId="3" borderId="0" xfId="0" applyFont="1" applyFill="1" applyAlignment="1">
      <alignment vertical="center"/>
    </xf>
    <xf numFmtId="0" fontId="9" fillId="3" borderId="0" xfId="0" applyFont="1" applyFill="1" applyAlignment="1">
      <alignment vertical="center"/>
    </xf>
    <xf numFmtId="0" fontId="6" fillId="0" borderId="0" xfId="0" applyFont="1"/>
    <xf numFmtId="0" fontId="7" fillId="0" borderId="0" xfId="0" applyFont="1" applyAlignment="1">
      <alignment vertical="center"/>
    </xf>
    <xf numFmtId="171" fontId="0" fillId="0" borderId="0" xfId="1" applyNumberFormat="1" applyFont="1"/>
    <xf numFmtId="170" fontId="7" fillId="0" borderId="0" xfId="0" applyNumberFormat="1" applyFont="1"/>
    <xf numFmtId="0" fontId="7" fillId="0" borderId="0" xfId="0" applyFont="1"/>
  </cellXfs>
  <cellStyles count="2">
    <cellStyle name="Comma" xfId="1" builtinId="3"/>
    <cellStyle name="Normal" xfId="0" builtinId="0"/>
  </cellStyles>
  <dxfs count="32">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numFmt numFmtId="168" formatCode="[$-409]d\-mmm\-yy;@"/>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numFmt numFmtId="170" formatCode="_-[$Rs-846]\ * #,##0_-;\-[$Rs-846]\ * #,##0_-;_-[$Rs-846]\ * &quot;-&quot;_-;_-@_-"/>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numFmt numFmtId="33" formatCode="_(* #,##0_);_(* \(#,##0\);_(* &quot;-&quot;_);_(@_)"/>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bottom"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numFmt numFmtId="169" formatCode="[$-409]dd\-mmm\-yy;@"/>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border diagonalUp="0" diagonalDown="0">
        <left style="thin">
          <color rgb="FFBFBFBF"/>
        </left>
        <right style="thin">
          <color rgb="FFBFBFBF"/>
        </right>
        <top style="thin">
          <color rgb="FFBFBFBF"/>
        </top>
        <bottom style="thin">
          <color rgb="FFBFBFBF"/>
        </bottom>
        <vertical/>
        <horizontal/>
      </border>
    </dxf>
    <dxf>
      <font>
        <b/>
        <i val="0"/>
        <strike val="0"/>
        <condense val="0"/>
        <extend val="0"/>
        <outline val="0"/>
        <shadow val="0"/>
        <u val="none"/>
        <vertAlign val="baseline"/>
        <sz val="11"/>
        <color rgb="FFFFFFFF"/>
        <name val="Arial"/>
        <charset val="1"/>
        <scheme val="none"/>
      </font>
      <fill>
        <patternFill patternType="solid">
          <fgColor rgb="FF003366"/>
          <bgColor rgb="FF1F4E78"/>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i val="0"/>
        <sz val="11"/>
        <color rgb="FF262626"/>
        <name val="Calibri"/>
        <family val="2"/>
        <scheme val="minor"/>
      </font>
      <fill>
        <patternFill>
          <bgColor rgb="FFFFFFFF"/>
        </patternFill>
      </fill>
    </dxf>
  </dxfs>
  <tableStyles count="1" defaultTableStyle="TableStyleMedium2" defaultPivotStyle="PivotStyleLight16">
    <tableStyle name="Slicer Style 1" pivot="0" table="0" count="1" xr9:uid="{129F8F58-6F7E-402B-836C-3A1234E05304}">
      <tableStyleElement type="wholeTable" dxfId="31"/>
    </tableStyle>
  </table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D9D9D9"/>
      <color rgb="FF70AD47"/>
      <color rgb="FF2E75B6"/>
      <color rgb="FF262626"/>
      <color rgb="FFFFFFFF"/>
      <color rgb="FFED7D31"/>
      <color rgb="FF7030A0"/>
      <color rgb="FF404040"/>
      <color rgb="FF1F3864"/>
      <color rgb="FFE8751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 &amp; REVISION.xlsx]Pivot_Tables!PivotTable6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layout>
        <c:manualLayout>
          <c:xMode val="edge"/>
          <c:yMode val="edge"/>
          <c:x val="0.32422258592471359"/>
          <c:y val="0.142066459199231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1"/>
            </a:solidFill>
            <a:ln>
              <a:noFill/>
            </a:ln>
            <a:effectLst/>
          </c:spPr>
          <c:invertIfNegative val="0"/>
          <c:cat>
            <c:strRef>
              <c:f>Pivot_Tables!$A$3:$A$9</c:f>
              <c:strCache>
                <c:ptCount val="6"/>
                <c:pt idx="0">
                  <c:v>Home Appliances</c:v>
                </c:pt>
                <c:pt idx="1">
                  <c:v>Accessories</c:v>
                </c:pt>
                <c:pt idx="2">
                  <c:v>Electronics</c:v>
                </c:pt>
                <c:pt idx="3">
                  <c:v>Furniture</c:v>
                </c:pt>
                <c:pt idx="4">
                  <c:v>Apparel</c:v>
                </c:pt>
                <c:pt idx="5">
                  <c:v>Unknown</c:v>
                </c:pt>
              </c:strCache>
            </c:strRef>
          </c:cat>
          <c:val>
            <c:numRef>
              <c:f>Pivot_Tables!$B$3:$B$9</c:f>
              <c:numCache>
                <c:formatCode>General</c:formatCode>
                <c:ptCount val="6"/>
                <c:pt idx="0">
                  <c:v>4068500</c:v>
                </c:pt>
                <c:pt idx="1">
                  <c:v>3308000</c:v>
                </c:pt>
                <c:pt idx="2">
                  <c:v>2413000</c:v>
                </c:pt>
                <c:pt idx="3">
                  <c:v>2196500</c:v>
                </c:pt>
                <c:pt idx="4">
                  <c:v>1710500</c:v>
                </c:pt>
                <c:pt idx="5">
                  <c:v>156500</c:v>
                </c:pt>
              </c:numCache>
            </c:numRef>
          </c:val>
          <c:extLst>
            <c:ext xmlns:c16="http://schemas.microsoft.com/office/drawing/2014/chart" uri="{C3380CC4-5D6E-409C-BE32-E72D297353CC}">
              <c16:uniqueId val="{00000000-B75D-48B5-959B-CF4BD9B79CB6}"/>
            </c:ext>
          </c:extLst>
        </c:ser>
        <c:dLbls>
          <c:showLegendKey val="0"/>
          <c:showVal val="0"/>
          <c:showCatName val="0"/>
          <c:showSerName val="0"/>
          <c:showPercent val="0"/>
          <c:showBubbleSize val="0"/>
        </c:dLbls>
        <c:gapWidth val="219"/>
        <c:overlap val="-27"/>
        <c:axId val="416033744"/>
        <c:axId val="416033024"/>
      </c:barChart>
      <c:catAx>
        <c:axId val="4160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3024"/>
        <c:crosses val="autoZero"/>
        <c:auto val="1"/>
        <c:lblAlgn val="ctr"/>
        <c:lblOffset val="100"/>
        <c:noMultiLvlLbl val="0"/>
      </c:catAx>
      <c:valAx>
        <c:axId val="41603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 &amp; REVISION.xlsx]Pivot_Tables!PivotTable7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Pivot_Tables!$B$12</c:f>
              <c:strCache>
                <c:ptCount val="1"/>
                <c:pt idx="0">
                  <c:v>Total</c:v>
                </c:pt>
              </c:strCache>
            </c:strRef>
          </c:tx>
          <c:spPr>
            <a:solidFill>
              <a:schemeClr val="accent1"/>
            </a:solidFill>
            <a:ln>
              <a:noFill/>
            </a:ln>
            <a:effectLst/>
          </c:spPr>
          <c:invertIfNegative val="0"/>
          <c:cat>
            <c:strRef>
              <c:f>Pivot_Tables!$A$13:$A$22</c:f>
              <c:strCache>
                <c:ptCount val="9"/>
                <c:pt idx="0">
                  <c:v>Faisalabad</c:v>
                </c:pt>
                <c:pt idx="1">
                  <c:v>Sialkot</c:v>
                </c:pt>
                <c:pt idx="2">
                  <c:v>Rawalpindi</c:v>
                </c:pt>
                <c:pt idx="3">
                  <c:v>Karachi</c:v>
                </c:pt>
                <c:pt idx="4">
                  <c:v>Peshawar</c:v>
                </c:pt>
                <c:pt idx="5">
                  <c:v>Islamabad</c:v>
                </c:pt>
                <c:pt idx="6">
                  <c:v>Multan</c:v>
                </c:pt>
                <c:pt idx="7">
                  <c:v>Unknown</c:v>
                </c:pt>
                <c:pt idx="8">
                  <c:v>Lahore</c:v>
                </c:pt>
              </c:strCache>
            </c:strRef>
          </c:cat>
          <c:val>
            <c:numRef>
              <c:f>Pivot_Tables!$B$13:$B$22</c:f>
              <c:numCache>
                <c:formatCode>General</c:formatCode>
                <c:ptCount val="9"/>
                <c:pt idx="0">
                  <c:v>3155500</c:v>
                </c:pt>
                <c:pt idx="1">
                  <c:v>2459000</c:v>
                </c:pt>
                <c:pt idx="2">
                  <c:v>2043000</c:v>
                </c:pt>
                <c:pt idx="3">
                  <c:v>1695000</c:v>
                </c:pt>
                <c:pt idx="4">
                  <c:v>1143500</c:v>
                </c:pt>
                <c:pt idx="5">
                  <c:v>1061500</c:v>
                </c:pt>
                <c:pt idx="6">
                  <c:v>1004500</c:v>
                </c:pt>
                <c:pt idx="7">
                  <c:v>813000</c:v>
                </c:pt>
                <c:pt idx="8">
                  <c:v>478000</c:v>
                </c:pt>
              </c:numCache>
            </c:numRef>
          </c:val>
          <c:extLst>
            <c:ext xmlns:c16="http://schemas.microsoft.com/office/drawing/2014/chart" uri="{C3380CC4-5D6E-409C-BE32-E72D297353CC}">
              <c16:uniqueId val="{00000000-B155-4D98-9C80-275F70D4C014}"/>
            </c:ext>
          </c:extLst>
        </c:ser>
        <c:dLbls>
          <c:showLegendKey val="0"/>
          <c:showVal val="0"/>
          <c:showCatName val="0"/>
          <c:showSerName val="0"/>
          <c:showPercent val="0"/>
          <c:showBubbleSize val="0"/>
        </c:dLbls>
        <c:gapWidth val="182"/>
        <c:axId val="529117464"/>
        <c:axId val="529119264"/>
      </c:barChart>
      <c:catAx>
        <c:axId val="529117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19264"/>
        <c:crosses val="autoZero"/>
        <c:auto val="1"/>
        <c:lblAlgn val="ctr"/>
        <c:lblOffset val="100"/>
        <c:noMultiLvlLbl val="0"/>
      </c:catAx>
      <c:valAx>
        <c:axId val="529119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17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 &amp; REVISION.xlsx]Pivot_Tables!PivotTable8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Pivot_Tables!$E$2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6D-47B6-9C25-5D4F3BB673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6D-47B6-9C25-5D4F3BB673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6D-47B6-9C25-5D4F3BB673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6D-47B6-9C25-5D4F3BB673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6D-47B6-9C25-5D4F3BB673F2}"/>
              </c:ext>
            </c:extLst>
          </c:dPt>
          <c:cat>
            <c:strRef>
              <c:f>Pivot_Tables!$D$3:$D$8</c:f>
              <c:strCache>
                <c:ptCount val="5"/>
                <c:pt idx="0">
                  <c:v>Bank Transfer</c:v>
                </c:pt>
                <c:pt idx="1">
                  <c:v>Cash</c:v>
                </c:pt>
                <c:pt idx="2">
                  <c:v>Credit Card</c:v>
                </c:pt>
                <c:pt idx="3">
                  <c:v>JazzCash</c:v>
                </c:pt>
                <c:pt idx="4">
                  <c:v>Not Specified</c:v>
                </c:pt>
              </c:strCache>
            </c:strRef>
          </c:cat>
          <c:val>
            <c:numRef>
              <c:f>Pivot_Tables!$E$3:$E$8</c:f>
              <c:numCache>
                <c:formatCode>General</c:formatCode>
                <c:ptCount val="5"/>
                <c:pt idx="0">
                  <c:v>1813000</c:v>
                </c:pt>
                <c:pt idx="1">
                  <c:v>3974000</c:v>
                </c:pt>
                <c:pt idx="2">
                  <c:v>4299500</c:v>
                </c:pt>
                <c:pt idx="3">
                  <c:v>2476500</c:v>
                </c:pt>
                <c:pt idx="4">
                  <c:v>1290000</c:v>
                </c:pt>
              </c:numCache>
            </c:numRef>
          </c:val>
          <c:extLst>
            <c:ext xmlns:c16="http://schemas.microsoft.com/office/drawing/2014/chart" uri="{C3380CC4-5D6E-409C-BE32-E72D297353CC}">
              <c16:uniqueId val="{0000000A-696D-47B6-9C25-5D4F3BB673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 &amp; REVISION.xlsx]Pivot_Tables!PivotTable10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layout>
        <c:manualLayout>
          <c:xMode val="edge"/>
          <c:yMode val="edge"/>
          <c:x val="0.25028571428571428"/>
          <c:y val="0.18631223728612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Pivot_Tables!$E$12</c:f>
              <c:strCache>
                <c:ptCount val="1"/>
                <c:pt idx="0">
                  <c:v>Total</c:v>
                </c:pt>
              </c:strCache>
            </c:strRef>
          </c:tx>
          <c:spPr>
            <a:ln w="28575" cap="rnd">
              <a:solidFill>
                <a:schemeClr val="accent1"/>
              </a:solidFill>
              <a:round/>
            </a:ln>
            <a:effectLst/>
          </c:spPr>
          <c:marker>
            <c:symbol val="none"/>
          </c:marker>
          <c:cat>
            <c:multiLvlStrRef>
              <c:f>Pivot_Tables!$D$13:$D$16</c:f>
              <c:multiLvlStrCache>
                <c:ptCount val="2"/>
                <c:lvl>
                  <c:pt idx="0">
                    <c:v>Jul</c:v>
                  </c:pt>
                  <c:pt idx="1">
                    <c:v>Aug</c:v>
                  </c:pt>
                </c:lvl>
                <c:lvl>
                  <c:pt idx="0">
                    <c:v>2026</c:v>
                  </c:pt>
                </c:lvl>
              </c:multiLvlStrCache>
            </c:multiLvlStrRef>
          </c:cat>
          <c:val>
            <c:numRef>
              <c:f>Pivot_Tables!$E$13:$E$16</c:f>
              <c:numCache>
                <c:formatCode>_-[$Rs-846]\ * #,##0_-;\-[$Rs-846]\ * #,##0_-;_-[$Rs-846]\ * "-"_-;_-@_-</c:formatCode>
                <c:ptCount val="2"/>
                <c:pt idx="0">
                  <c:v>7724500</c:v>
                </c:pt>
                <c:pt idx="1">
                  <c:v>6128500</c:v>
                </c:pt>
              </c:numCache>
            </c:numRef>
          </c:val>
          <c:smooth val="0"/>
          <c:extLst>
            <c:ext xmlns:c16="http://schemas.microsoft.com/office/drawing/2014/chart" uri="{C3380CC4-5D6E-409C-BE32-E72D297353CC}">
              <c16:uniqueId val="{00000000-C0F5-4EBD-A202-E8C94632370C}"/>
            </c:ext>
          </c:extLst>
        </c:ser>
        <c:dLbls>
          <c:showLegendKey val="0"/>
          <c:showVal val="0"/>
          <c:showCatName val="0"/>
          <c:showSerName val="0"/>
          <c:showPercent val="0"/>
          <c:showBubbleSize val="0"/>
        </c:dLbls>
        <c:smooth val="0"/>
        <c:axId val="519123408"/>
        <c:axId val="519124488"/>
      </c:lineChart>
      <c:catAx>
        <c:axId val="51912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124488"/>
        <c:crosses val="autoZero"/>
        <c:auto val="1"/>
        <c:lblAlgn val="ctr"/>
        <c:lblOffset val="100"/>
        <c:noMultiLvlLbl val="0"/>
      </c:catAx>
      <c:valAx>
        <c:axId val="519124488"/>
        <c:scaling>
          <c:orientation val="minMax"/>
        </c:scaling>
        <c:delete val="0"/>
        <c:axPos val="l"/>
        <c:majorGridlines>
          <c:spPr>
            <a:ln w="9525" cap="flat" cmpd="sng" algn="ctr">
              <a:solidFill>
                <a:schemeClr val="tx1">
                  <a:lumMod val="15000"/>
                  <a:lumOff val="85000"/>
                </a:schemeClr>
              </a:solidFill>
              <a:round/>
            </a:ln>
            <a:effectLst/>
          </c:spPr>
        </c:majorGridlines>
        <c:numFmt formatCode="_-[$Rs-846]\ * #,##0_-;\-[$Rs-846]\ * #,##0_-;_-[$Rs-84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12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[WEEKLY PROJECT &amp; REVISION.xlsx]Pivot_Tables!PivotTable6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262626"/>
                </a:solidFill>
              </a:rPr>
              <a:t>Sales by Category</a:t>
            </a:r>
            <a:endParaRPr lang="en-US" sz="1400" b="1">
              <a:solidFill>
                <a:srgbClr val="262626"/>
              </a:solidFill>
            </a:endParaRPr>
          </a:p>
        </c:rich>
      </c:tx>
      <c:layout>
        <c:manualLayout>
          <c:xMode val="edge"/>
          <c:yMode val="edge"/>
          <c:x val="0.32422270369847028"/>
          <c:y val="5.30808410208141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2E75B6"/>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solidFill>
              <a:srgbClr val="2E75B6"/>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solidFill>
              <a:srgbClr val="2E75B6"/>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8277591880619354"/>
          <c:y val="0.24537831514399178"/>
          <c:w val="0.77423557700296586"/>
          <c:h val="0.35504279083726636"/>
        </c:manualLayout>
      </c:layout>
      <c:barChart>
        <c:barDir val="col"/>
        <c:grouping val="clustered"/>
        <c:varyColors val="0"/>
        <c:ser>
          <c:idx val="0"/>
          <c:order val="0"/>
          <c:tx>
            <c:strRef>
              <c:f>Pivot_Tables!$B$2</c:f>
              <c:strCache>
                <c:ptCount val="1"/>
                <c:pt idx="0">
                  <c:v>Total</c:v>
                </c:pt>
              </c:strCache>
            </c:strRef>
          </c:tx>
          <c:spPr>
            <a:solidFill>
              <a:schemeClr val="accent1"/>
            </a:solidFill>
            <a:ln>
              <a:solidFill>
                <a:srgbClr val="2E75B6"/>
              </a:solid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Pivot_Tables!$A$3:$A$9</c:f>
              <c:strCache>
                <c:ptCount val="6"/>
                <c:pt idx="0">
                  <c:v>Home Appliances</c:v>
                </c:pt>
                <c:pt idx="1">
                  <c:v>Accessories</c:v>
                </c:pt>
                <c:pt idx="2">
                  <c:v>Electronics</c:v>
                </c:pt>
                <c:pt idx="3">
                  <c:v>Furniture</c:v>
                </c:pt>
                <c:pt idx="4">
                  <c:v>Apparel</c:v>
                </c:pt>
                <c:pt idx="5">
                  <c:v>Unknown</c:v>
                </c:pt>
              </c:strCache>
            </c:strRef>
          </c:cat>
          <c:val>
            <c:numRef>
              <c:f>Pivot_Tables!$B$3:$B$9</c:f>
              <c:numCache>
                <c:formatCode>General</c:formatCode>
                <c:ptCount val="6"/>
                <c:pt idx="0">
                  <c:v>4068500</c:v>
                </c:pt>
                <c:pt idx="1">
                  <c:v>3308000</c:v>
                </c:pt>
                <c:pt idx="2">
                  <c:v>2413000</c:v>
                </c:pt>
                <c:pt idx="3">
                  <c:v>2196500</c:v>
                </c:pt>
                <c:pt idx="4">
                  <c:v>1710500</c:v>
                </c:pt>
                <c:pt idx="5">
                  <c:v>156500</c:v>
                </c:pt>
              </c:numCache>
            </c:numRef>
          </c:val>
          <c:extLst>
            <c:ext xmlns:c16="http://schemas.microsoft.com/office/drawing/2014/chart" uri="{C3380CC4-5D6E-409C-BE32-E72D297353CC}">
              <c16:uniqueId val="{00000000-9289-4D86-80EC-A41D11331768}"/>
            </c:ext>
          </c:extLst>
        </c:ser>
        <c:dLbls>
          <c:dLblPos val="outEnd"/>
          <c:showLegendKey val="0"/>
          <c:showVal val="1"/>
          <c:showCatName val="0"/>
          <c:showSerName val="0"/>
          <c:showPercent val="0"/>
          <c:showBubbleSize val="0"/>
        </c:dLbls>
        <c:gapWidth val="219"/>
        <c:overlap val="-27"/>
        <c:axId val="416033744"/>
        <c:axId val="416033024"/>
      </c:barChart>
      <c:catAx>
        <c:axId val="4160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3024"/>
        <c:crosses val="autoZero"/>
        <c:auto val="1"/>
        <c:lblAlgn val="ctr"/>
        <c:lblOffset val="100"/>
        <c:noMultiLvlLbl val="0"/>
      </c:catAx>
      <c:valAx>
        <c:axId val="41603302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33744"/>
        <c:crosses val="autoZero"/>
        <c:crossBetween val="between"/>
      </c:valAx>
      <c:spPr>
        <a:noFill/>
        <a:ln>
          <a:solidFill>
            <a:srgbClr val="FFFFFF"/>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 &amp; REVISION.xlsx]Pivot_Tables!PivotTable7</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Sales by City</a:t>
            </a:r>
          </a:p>
        </c:rich>
      </c:tx>
      <c:layout>
        <c:manualLayout>
          <c:xMode val="edge"/>
          <c:yMode val="edge"/>
          <c:x val="0.36081774428087399"/>
          <c:y val="3.7077412381987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AD47"/>
          </a:solidFill>
          <a:ln cap="rnd">
            <a:solidFill>
              <a:srgbClr val="262626"/>
            </a:solidFill>
          </a:ln>
          <a:effectLst/>
        </c:spPr>
        <c:marker>
          <c:symbol val="none"/>
        </c:marker>
        <c:dLbl>
          <c:idx val="0"/>
          <c:numFmt formatCode="\ #,##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AD47"/>
          </a:solidFill>
          <a:ln cap="rnd">
            <a:solidFill>
              <a:srgbClr val="262626"/>
            </a:solidFill>
          </a:ln>
          <a:effectLst/>
        </c:spPr>
        <c:marker>
          <c:symbol val="none"/>
        </c:marker>
        <c:dLbl>
          <c:idx val="0"/>
          <c:numFmt formatCode="\ #,##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AD47"/>
          </a:solidFill>
          <a:ln cap="rnd">
            <a:solidFill>
              <a:srgbClr val="70AD47"/>
            </a:solidFill>
          </a:ln>
          <a:effectLst/>
        </c:spPr>
        <c:marker>
          <c:symbol val="none"/>
        </c:marker>
        <c:dLbl>
          <c:idx val="0"/>
          <c:numFmt formatCode="\ #,##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Pivot_Tables!$B$12</c:f>
              <c:strCache>
                <c:ptCount val="1"/>
                <c:pt idx="0">
                  <c:v>Total</c:v>
                </c:pt>
              </c:strCache>
            </c:strRef>
          </c:tx>
          <c:spPr>
            <a:solidFill>
              <a:srgbClr val="70AD47"/>
            </a:solidFill>
            <a:ln cap="rnd">
              <a:solidFill>
                <a:srgbClr val="70AD47"/>
              </a:solidFill>
            </a:ln>
            <a:effectLst/>
          </c:spPr>
          <c:invertIfNegative val="0"/>
          <c:dLbls>
            <c:numFmt formatCode="\ #,##0,&quot;K&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Pivot_Tables!$A$13:$A$22</c:f>
              <c:strCache>
                <c:ptCount val="9"/>
                <c:pt idx="0">
                  <c:v>Faisalabad</c:v>
                </c:pt>
                <c:pt idx="1">
                  <c:v>Sialkot</c:v>
                </c:pt>
                <c:pt idx="2">
                  <c:v>Rawalpindi</c:v>
                </c:pt>
                <c:pt idx="3">
                  <c:v>Karachi</c:v>
                </c:pt>
                <c:pt idx="4">
                  <c:v>Peshawar</c:v>
                </c:pt>
                <c:pt idx="5">
                  <c:v>Islamabad</c:v>
                </c:pt>
                <c:pt idx="6">
                  <c:v>Multan</c:v>
                </c:pt>
                <c:pt idx="7">
                  <c:v>Unknown</c:v>
                </c:pt>
                <c:pt idx="8">
                  <c:v>Lahore</c:v>
                </c:pt>
              </c:strCache>
            </c:strRef>
          </c:cat>
          <c:val>
            <c:numRef>
              <c:f>Pivot_Tables!$B$13:$B$22</c:f>
              <c:numCache>
                <c:formatCode>General</c:formatCode>
                <c:ptCount val="9"/>
                <c:pt idx="0">
                  <c:v>3155500</c:v>
                </c:pt>
                <c:pt idx="1">
                  <c:v>2459000</c:v>
                </c:pt>
                <c:pt idx="2">
                  <c:v>2043000</c:v>
                </c:pt>
                <c:pt idx="3">
                  <c:v>1695000</c:v>
                </c:pt>
                <c:pt idx="4">
                  <c:v>1143500</c:v>
                </c:pt>
                <c:pt idx="5">
                  <c:v>1061500</c:v>
                </c:pt>
                <c:pt idx="6">
                  <c:v>1004500</c:v>
                </c:pt>
                <c:pt idx="7">
                  <c:v>813000</c:v>
                </c:pt>
                <c:pt idx="8">
                  <c:v>478000</c:v>
                </c:pt>
              </c:numCache>
            </c:numRef>
          </c:val>
          <c:extLst>
            <c:ext xmlns:c16="http://schemas.microsoft.com/office/drawing/2014/chart" uri="{C3380CC4-5D6E-409C-BE32-E72D297353CC}">
              <c16:uniqueId val="{00000000-8A2C-41BE-AEE7-E2C4F923CF8B}"/>
            </c:ext>
          </c:extLst>
        </c:ser>
        <c:dLbls>
          <c:dLblPos val="outEnd"/>
          <c:showLegendKey val="0"/>
          <c:showVal val="1"/>
          <c:showCatName val="0"/>
          <c:showSerName val="0"/>
          <c:showPercent val="0"/>
          <c:showBubbleSize val="0"/>
        </c:dLbls>
        <c:gapWidth val="174"/>
        <c:axId val="529117464"/>
        <c:axId val="529119264"/>
      </c:barChart>
      <c:catAx>
        <c:axId val="529117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9119264"/>
        <c:crosses val="autoZero"/>
        <c:auto val="1"/>
        <c:lblAlgn val="ctr"/>
        <c:lblOffset val="100"/>
        <c:noMultiLvlLbl val="0"/>
      </c:catAx>
      <c:valAx>
        <c:axId val="5291192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9117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t"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 &amp; REVISION.xlsx]Pivot_Tables!PivotTable8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Sales by Payment Method</a:t>
            </a:r>
            <a:endParaRPr lang="en-US" b="1">
              <a:solidFill>
                <a:schemeClr val="tx1"/>
              </a:solidFill>
            </a:endParaRPr>
          </a:p>
        </c:rich>
      </c:tx>
      <c:layout>
        <c:manualLayout>
          <c:xMode val="edge"/>
          <c:yMode val="edge"/>
          <c:x val="0.10923155242631324"/>
          <c:y val="4.6799716253688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doughnutChart>
        <c:varyColors val="1"/>
        <c:ser>
          <c:idx val="0"/>
          <c:order val="0"/>
          <c:tx>
            <c:strRef>
              <c:f>Pivot_Tables!$E$2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D8-4746-9A4E-C5DDDBCEAB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D8-4746-9A4E-C5DDDBCEAB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D8-4746-9A4E-C5DDDBCEAB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D8-4746-9A4E-C5DDDBCEAB9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D8-4746-9A4E-C5DDDBCEAB90}"/>
              </c:ext>
            </c:extLst>
          </c:dPt>
          <c:dLbls>
            <c:spPr>
              <a:noFill/>
              <a:ln>
                <a:noFill/>
              </a:ln>
              <a:effectLst/>
            </c:spPr>
            <c:txPr>
              <a:bodyPr rot="0" spcFirstLastPara="1" vertOverflow="overflow" horzOverflow="overflow" vert="horz" wrap="square" lIns="38100" tIns="19050" rIns="38100" bIns="19050" anchor="t" anchorCtr="0">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Pivot_Tables!$D$3:$D$8</c:f>
              <c:strCache>
                <c:ptCount val="5"/>
                <c:pt idx="0">
                  <c:v>Bank Transfer</c:v>
                </c:pt>
                <c:pt idx="1">
                  <c:v>Cash</c:v>
                </c:pt>
                <c:pt idx="2">
                  <c:v>Credit Card</c:v>
                </c:pt>
                <c:pt idx="3">
                  <c:v>JazzCash</c:v>
                </c:pt>
                <c:pt idx="4">
                  <c:v>Not Specified</c:v>
                </c:pt>
              </c:strCache>
            </c:strRef>
          </c:cat>
          <c:val>
            <c:numRef>
              <c:f>Pivot_Tables!$E$3:$E$8</c:f>
              <c:numCache>
                <c:formatCode>General</c:formatCode>
                <c:ptCount val="5"/>
                <c:pt idx="0">
                  <c:v>1813000</c:v>
                </c:pt>
                <c:pt idx="1">
                  <c:v>3974000</c:v>
                </c:pt>
                <c:pt idx="2">
                  <c:v>4299500</c:v>
                </c:pt>
                <c:pt idx="3">
                  <c:v>2476500</c:v>
                </c:pt>
                <c:pt idx="4">
                  <c:v>1290000</c:v>
                </c:pt>
              </c:numCache>
            </c:numRef>
          </c:val>
          <c:extLst>
            <c:ext xmlns:c16="http://schemas.microsoft.com/office/drawing/2014/chart" uri="{C3380CC4-5D6E-409C-BE32-E72D297353CC}">
              <c16:uniqueId val="{0000000A-8CD8-4746-9A4E-C5DDDBCEAB90}"/>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 &amp; REVISION.xlsx]Pivot_Tables!PivotTable10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Monthly Sales Trend</a:t>
            </a:r>
            <a:endParaRPr lang="en-US" b="1">
              <a:solidFill>
                <a:schemeClr val="tx1"/>
              </a:solidFill>
            </a:endParaRPr>
          </a:p>
        </c:rich>
      </c:tx>
      <c:layout>
        <c:manualLayout>
          <c:xMode val="edge"/>
          <c:yMode val="edge"/>
          <c:x val="0.30130644888836317"/>
          <c:y val="8.9503603910650123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0.18104286693359636"/>
              <c:y val="-9.6234072656699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67526541514288"/>
          <c:y val="0.38175176219837742"/>
          <c:w val="0.77025054869182574"/>
          <c:h val="0.18565404358208309"/>
        </c:manualLayout>
      </c:layout>
      <c:lineChart>
        <c:grouping val="standard"/>
        <c:varyColors val="0"/>
        <c:ser>
          <c:idx val="0"/>
          <c:order val="0"/>
          <c:tx>
            <c:strRef>
              <c:f>Pivot_Tables!$E$12</c:f>
              <c:strCache>
                <c:ptCount val="1"/>
                <c:pt idx="0">
                  <c:v>Total</c:v>
                </c:pt>
              </c:strCache>
            </c:strRef>
          </c:tx>
          <c:spPr>
            <a:ln w="28575" cap="rnd">
              <a:solidFill>
                <a:schemeClr val="accent1"/>
              </a:solidFill>
              <a:round/>
            </a:ln>
            <a:effectLst/>
          </c:spPr>
          <c:marker>
            <c:symbol val="none"/>
          </c:marker>
          <c:dLbls>
            <c:dLbl>
              <c:idx val="0"/>
              <c:layout>
                <c:manualLayout>
                  <c:x val="-0.18104286693359636"/>
                  <c:y val="-9.62340726566995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F6-4AB5-A425-E10D71D962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Pivot_Tables!$D$13:$D$16</c:f>
              <c:multiLvlStrCache>
                <c:ptCount val="2"/>
                <c:lvl>
                  <c:pt idx="0">
                    <c:v>Jul</c:v>
                  </c:pt>
                  <c:pt idx="1">
                    <c:v>Aug</c:v>
                  </c:pt>
                </c:lvl>
                <c:lvl>
                  <c:pt idx="0">
                    <c:v>2026</c:v>
                  </c:pt>
                </c:lvl>
              </c:multiLvlStrCache>
            </c:multiLvlStrRef>
          </c:cat>
          <c:val>
            <c:numRef>
              <c:f>Pivot_Tables!$E$13:$E$16</c:f>
              <c:numCache>
                <c:formatCode>_-[$Rs-846]\ * #,##0_-;\-[$Rs-846]\ * #,##0_-;_-[$Rs-846]\ * "-"_-;_-@_-</c:formatCode>
                <c:ptCount val="2"/>
                <c:pt idx="0">
                  <c:v>7724500</c:v>
                </c:pt>
                <c:pt idx="1">
                  <c:v>6128500</c:v>
                </c:pt>
              </c:numCache>
            </c:numRef>
          </c:val>
          <c:smooth val="0"/>
          <c:extLst>
            <c:ext xmlns:c16="http://schemas.microsoft.com/office/drawing/2014/chart" uri="{C3380CC4-5D6E-409C-BE32-E72D297353CC}">
              <c16:uniqueId val="{00000000-3BF6-4AB5-A425-E10D71D96290}"/>
            </c:ext>
          </c:extLst>
        </c:ser>
        <c:dLbls>
          <c:dLblPos val="t"/>
          <c:showLegendKey val="0"/>
          <c:showVal val="1"/>
          <c:showCatName val="0"/>
          <c:showSerName val="0"/>
          <c:showPercent val="0"/>
          <c:showBubbleSize val="0"/>
        </c:dLbls>
        <c:smooth val="0"/>
        <c:axId val="519123408"/>
        <c:axId val="519124488"/>
      </c:lineChart>
      <c:catAx>
        <c:axId val="51912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124488"/>
        <c:crosses val="autoZero"/>
        <c:auto val="1"/>
        <c:lblAlgn val="ctr"/>
        <c:lblOffset val="100"/>
        <c:noMultiLvlLbl val="0"/>
      </c:catAx>
      <c:valAx>
        <c:axId val="519124488"/>
        <c:scaling>
          <c:orientation val="minMax"/>
          <c:min val="8000000"/>
        </c:scaling>
        <c:delete val="0"/>
        <c:axPos val="l"/>
        <c:numFmt formatCode="_-[$Rs-846]\ * #,##0_-;\-[$Rs-846]\ * #,##0_-;_-[$Rs-84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12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50800</xdr:colOff>
      <xdr:row>4</xdr:row>
      <xdr:rowOff>50800</xdr:rowOff>
    </xdr:from>
    <xdr:to>
      <xdr:col>4</xdr:col>
      <xdr:colOff>590550</xdr:colOff>
      <xdr:row>13</xdr:row>
      <xdr:rowOff>139700</xdr:rowOff>
    </xdr:to>
    <xdr:graphicFrame macro="">
      <xdr:nvGraphicFramePr>
        <xdr:cNvPr id="5" name="Chart 4">
          <a:extLst>
            <a:ext uri="{FF2B5EF4-FFF2-40B4-BE49-F238E27FC236}">
              <a16:creationId xmlns:a16="http://schemas.microsoft.com/office/drawing/2014/main" id="{31461501-A371-4E18-A27D-D76562624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xdr:row>
      <xdr:rowOff>50800</xdr:rowOff>
    </xdr:from>
    <xdr:to>
      <xdr:col>9</xdr:col>
      <xdr:colOff>527050</xdr:colOff>
      <xdr:row>13</xdr:row>
      <xdr:rowOff>152400</xdr:rowOff>
    </xdr:to>
    <xdr:graphicFrame macro="">
      <xdr:nvGraphicFramePr>
        <xdr:cNvPr id="6" name="Chart 5">
          <a:extLst>
            <a:ext uri="{FF2B5EF4-FFF2-40B4-BE49-F238E27FC236}">
              <a16:creationId xmlns:a16="http://schemas.microsoft.com/office/drawing/2014/main" id="{446BF2E6-5955-4135-9018-83C99FC09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82551</xdr:colOff>
      <xdr:row>5</xdr:row>
      <xdr:rowOff>101600</xdr:rowOff>
    </xdr:from>
    <xdr:to>
      <xdr:col>14</xdr:col>
      <xdr:colOff>107951</xdr:colOff>
      <xdr:row>14</xdr:row>
      <xdr:rowOff>88900</xdr:rowOff>
    </xdr:to>
    <xdr:graphicFrame macro="">
      <xdr:nvGraphicFramePr>
        <xdr:cNvPr id="7" name="Chart 6">
          <a:extLst>
            <a:ext uri="{FF2B5EF4-FFF2-40B4-BE49-F238E27FC236}">
              <a16:creationId xmlns:a16="http://schemas.microsoft.com/office/drawing/2014/main" id="{1182CCC8-44DE-48C2-818E-8E8404E51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25400</xdr:colOff>
      <xdr:row>15</xdr:row>
      <xdr:rowOff>139700</xdr:rowOff>
    </xdr:from>
    <xdr:to>
      <xdr:col>14</xdr:col>
      <xdr:colOff>476250</xdr:colOff>
      <xdr:row>24</xdr:row>
      <xdr:rowOff>171450</xdr:rowOff>
    </xdr:to>
    <xdr:graphicFrame macro="">
      <xdr:nvGraphicFramePr>
        <xdr:cNvPr id="8" name="Chart 7">
          <a:extLst>
            <a:ext uri="{FF2B5EF4-FFF2-40B4-BE49-F238E27FC236}">
              <a16:creationId xmlns:a16="http://schemas.microsoft.com/office/drawing/2014/main" id="{CC6C71F2-B31F-444F-AB95-F90F6426E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273050</xdr:colOff>
      <xdr:row>14</xdr:row>
      <xdr:rowOff>19051</xdr:rowOff>
    </xdr:from>
    <xdr:to>
      <xdr:col>2</xdr:col>
      <xdr:colOff>501650</xdr:colOff>
      <xdr:row>26</xdr:row>
      <xdr:rowOff>95251</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8A50D71D-BDFD-45AE-A254-CAAE9CA4B5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73050" y="2597151"/>
              <a:ext cx="18288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444500</xdr:colOff>
      <xdr:row>14</xdr:row>
      <xdr:rowOff>69850</xdr:rowOff>
    </xdr:from>
    <xdr:to>
      <xdr:col>5</xdr:col>
      <xdr:colOff>635000</xdr:colOff>
      <xdr:row>27</xdr:row>
      <xdr:rowOff>104775</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CE4A1C95-701D-41C0-81A4-8293FDF4DBF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654300" y="2647950"/>
              <a:ext cx="1606550"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838200</xdr:colOff>
      <xdr:row>14</xdr:row>
      <xdr:rowOff>101600</xdr:rowOff>
    </xdr:from>
    <xdr:to>
      <xdr:col>7</xdr:col>
      <xdr:colOff>520700</xdr:colOff>
      <xdr:row>23</xdr:row>
      <xdr:rowOff>127000</xdr:rowOff>
    </xdr:to>
    <mc:AlternateContent xmlns:mc="http://schemas.openxmlformats.org/markup-compatibility/2006" xmlns:a14="http://schemas.microsoft.com/office/drawing/2010/main">
      <mc:Choice Requires="a14">
        <xdr:graphicFrame macro="">
          <xdr:nvGraphicFramePr>
            <xdr:cNvPr id="11" name="Payment_Method 1">
              <a:extLst>
                <a:ext uri="{FF2B5EF4-FFF2-40B4-BE49-F238E27FC236}">
                  <a16:creationId xmlns:a16="http://schemas.microsoft.com/office/drawing/2014/main" id="{80A402E5-DAB5-4328-AA0E-BBD581855B19}"/>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4464050" y="2679700"/>
              <a:ext cx="1219200" cy="168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635000</xdr:colOff>
      <xdr:row>14</xdr:row>
      <xdr:rowOff>107950</xdr:rowOff>
    </xdr:from>
    <xdr:to>
      <xdr:col>9</xdr:col>
      <xdr:colOff>508000</xdr:colOff>
      <xdr:row>21</xdr:row>
      <xdr:rowOff>165100</xdr:rowOff>
    </xdr:to>
    <mc:AlternateContent xmlns:mc="http://schemas.openxmlformats.org/markup-compatibility/2006" xmlns:tsle="http://schemas.microsoft.com/office/drawing/2012/timeslicer">
      <mc:Choice Requires="tsle">
        <xdr:graphicFrame macro="">
          <xdr:nvGraphicFramePr>
            <xdr:cNvPr id="2" name="Order_Date 1">
              <a:extLst>
                <a:ext uri="{FF2B5EF4-FFF2-40B4-BE49-F238E27FC236}">
                  <a16:creationId xmlns:a16="http://schemas.microsoft.com/office/drawing/2014/main" id="{9C75188F-269F-4C67-ADA5-B553E83E35D2}"/>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5797550" y="2686050"/>
              <a:ext cx="1727200" cy="1346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598714</xdr:colOff>
      <xdr:row>22</xdr:row>
      <xdr:rowOff>141514</xdr:rowOff>
    </xdr:from>
    <xdr:to>
      <xdr:col>9</xdr:col>
      <xdr:colOff>178227</xdr:colOff>
      <xdr:row>28</xdr:row>
      <xdr:rowOff>78014</xdr:rowOff>
    </xdr:to>
    <mc:AlternateContent xmlns:mc="http://schemas.openxmlformats.org/markup-compatibility/2006">
      <mc:Choice xmlns:tsle="http://schemas.microsoft.com/office/drawing/2012/timeslicer" Requires="tsle">
        <xdr:graphicFrame macro="">
          <xdr:nvGraphicFramePr>
            <xdr:cNvPr id="6" name="Order_Date 2">
              <a:extLst>
                <a:ext uri="{FF2B5EF4-FFF2-40B4-BE49-F238E27FC236}">
                  <a16:creationId xmlns:a16="http://schemas.microsoft.com/office/drawing/2014/main" id="{600F6FAF-B2E4-4EC3-A9AF-6A0B81ACF2AE}"/>
                </a:ext>
              </a:extLst>
            </xdr:cNvPr>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598714" y="4132943"/>
              <a:ext cx="5049584" cy="10250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598714</xdr:colOff>
      <xdr:row>7</xdr:row>
      <xdr:rowOff>48558</xdr:rowOff>
    </xdr:from>
    <xdr:to>
      <xdr:col>5</xdr:col>
      <xdr:colOff>268941</xdr:colOff>
      <xdr:row>12</xdr:row>
      <xdr:rowOff>61258</xdr:rowOff>
    </xdr:to>
    <mc:AlternateContent xmlns:mc="http://schemas.openxmlformats.org/markup-compatibility/2006">
      <mc:Choice xmlns:a14="http://schemas.microsoft.com/office/drawing/2010/main" Requires="a14">
        <xdr:graphicFrame macro="">
          <xdr:nvGraphicFramePr>
            <xdr:cNvPr id="2" name="Category 2">
              <a:extLst>
                <a:ext uri="{FF2B5EF4-FFF2-40B4-BE49-F238E27FC236}">
                  <a16:creationId xmlns:a16="http://schemas.microsoft.com/office/drawing/2014/main" id="{E18810F6-2F0E-47AB-AEF6-27C0CB64E0F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98714" y="1318558"/>
              <a:ext cx="2709156" cy="919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358963</xdr:colOff>
      <xdr:row>7</xdr:row>
      <xdr:rowOff>46317</xdr:rowOff>
    </xdr:from>
    <xdr:to>
      <xdr:col>9</xdr:col>
      <xdr:colOff>351117</xdr:colOff>
      <xdr:row>12</xdr:row>
      <xdr:rowOff>39966</xdr:rowOff>
    </xdr:to>
    <mc:AlternateContent xmlns:mc="http://schemas.openxmlformats.org/markup-compatibility/2006">
      <mc:Choice xmlns:a14="http://schemas.microsoft.com/office/drawing/2010/main" Requires="a14">
        <xdr:graphicFrame macro="">
          <xdr:nvGraphicFramePr>
            <xdr:cNvPr id="3" name="City 2">
              <a:extLst>
                <a:ext uri="{FF2B5EF4-FFF2-40B4-BE49-F238E27FC236}">
                  <a16:creationId xmlns:a16="http://schemas.microsoft.com/office/drawing/2014/main" id="{5052ECD1-1756-44AE-A9AB-3729E0846BE3}"/>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3397892" y="1316317"/>
              <a:ext cx="2423296" cy="900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436657</xdr:colOff>
      <xdr:row>7</xdr:row>
      <xdr:rowOff>62380</xdr:rowOff>
    </xdr:from>
    <xdr:to>
      <xdr:col>13</xdr:col>
      <xdr:colOff>351118</xdr:colOff>
      <xdr:row>12</xdr:row>
      <xdr:rowOff>62380</xdr:rowOff>
    </xdr:to>
    <mc:AlternateContent xmlns:mc="http://schemas.openxmlformats.org/markup-compatibility/2006">
      <mc:Choice xmlns:a14="http://schemas.microsoft.com/office/drawing/2010/main" Requires="a14">
        <xdr:graphicFrame macro="">
          <xdr:nvGraphicFramePr>
            <xdr:cNvPr id="4" name="Payment_Method 2">
              <a:extLst>
                <a:ext uri="{FF2B5EF4-FFF2-40B4-BE49-F238E27FC236}">
                  <a16:creationId xmlns:a16="http://schemas.microsoft.com/office/drawing/2014/main" id="{FC581F61-93C7-479B-9371-29922EF1D820}"/>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dr:sp macro="" textlink="">
          <xdr:nvSpPr>
            <xdr:cNvPr id="0" name=""/>
            <xdr:cNvSpPr>
              <a:spLocks noTextEdit="1"/>
            </xdr:cNvSpPr>
          </xdr:nvSpPr>
          <xdr:spPr>
            <a:xfrm>
              <a:off x="5906728" y="1332380"/>
              <a:ext cx="2345604" cy="907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447861</xdr:colOff>
      <xdr:row>7</xdr:row>
      <xdr:rowOff>54909</xdr:rowOff>
    </xdr:from>
    <xdr:to>
      <xdr:col>17</xdr:col>
      <xdr:colOff>22412</xdr:colOff>
      <xdr:row>12</xdr:row>
      <xdr:rowOff>54909</xdr:rowOff>
    </xdr:to>
    <mc:AlternateContent xmlns:mc="http://schemas.openxmlformats.org/markup-compatibility/2006">
      <mc:Choice xmlns:a14="http://schemas.microsoft.com/office/drawing/2010/main" Requires="a14">
        <xdr:graphicFrame macro="">
          <xdr:nvGraphicFramePr>
            <xdr:cNvPr id="5" name="Customer_Status 1">
              <a:extLst>
                <a:ext uri="{FF2B5EF4-FFF2-40B4-BE49-F238E27FC236}">
                  <a16:creationId xmlns:a16="http://schemas.microsoft.com/office/drawing/2014/main" id="{482E10D0-4B61-4E09-AA32-D9D9A083B253}"/>
                </a:ext>
              </a:extLst>
            </xdr:cNvPr>
            <xdr:cNvGraphicFramePr/>
          </xdr:nvGraphicFramePr>
          <xdr:xfrm>
            <a:off x="0" y="0"/>
            <a:ext cx="0" cy="0"/>
          </xdr:xfrm>
          <a:graphic>
            <a:graphicData uri="http://schemas.microsoft.com/office/drawing/2010/slicer">
              <sle:slicer xmlns:sle="http://schemas.microsoft.com/office/drawing/2010/slicer" name="Customer_Status 1"/>
            </a:graphicData>
          </a:graphic>
        </xdr:graphicFrame>
      </mc:Choice>
      <mc:Fallback>
        <xdr:sp macro="" textlink="">
          <xdr:nvSpPr>
            <xdr:cNvPr id="0" name=""/>
            <xdr:cNvSpPr>
              <a:spLocks noTextEdit="1"/>
            </xdr:cNvSpPr>
          </xdr:nvSpPr>
          <xdr:spPr>
            <a:xfrm>
              <a:off x="8349075" y="1324909"/>
              <a:ext cx="2005694" cy="907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577850</xdr:colOff>
      <xdr:row>0</xdr:row>
      <xdr:rowOff>127000</xdr:rowOff>
    </xdr:from>
    <xdr:to>
      <xdr:col>17</xdr:col>
      <xdr:colOff>0</xdr:colOff>
      <xdr:row>3</xdr:row>
      <xdr:rowOff>0</xdr:rowOff>
    </xdr:to>
    <xdr:sp macro="" textlink="">
      <xdr:nvSpPr>
        <xdr:cNvPr id="12" name="Rectangle: Rounded Corners 11">
          <a:extLst>
            <a:ext uri="{FF2B5EF4-FFF2-40B4-BE49-F238E27FC236}">
              <a16:creationId xmlns:a16="http://schemas.microsoft.com/office/drawing/2014/main" id="{7D6AF9BE-98F4-CDCE-2793-3E55E248D2B1}"/>
            </a:ext>
          </a:extLst>
        </xdr:cNvPr>
        <xdr:cNvSpPr/>
      </xdr:nvSpPr>
      <xdr:spPr>
        <a:xfrm>
          <a:off x="577850" y="127000"/>
          <a:ext cx="9785350" cy="425450"/>
        </a:xfrm>
        <a:prstGeom prst="round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SALES ANALYTICS DASHBOARD</a:t>
          </a:r>
        </a:p>
      </xdr:txBody>
    </xdr:sp>
    <xdr:clientData/>
  </xdr:twoCellAnchor>
  <xdr:twoCellAnchor>
    <xdr:from>
      <xdr:col>0</xdr:col>
      <xdr:colOff>571500</xdr:colOff>
      <xdr:row>3</xdr:row>
      <xdr:rowOff>63500</xdr:rowOff>
    </xdr:from>
    <xdr:to>
      <xdr:col>5</xdr:col>
      <xdr:colOff>99785</xdr:colOff>
      <xdr:row>6</xdr:row>
      <xdr:rowOff>133350</xdr:rowOff>
    </xdr:to>
    <xdr:sp macro="" textlink="">
      <xdr:nvSpPr>
        <xdr:cNvPr id="11" name="Rectangle: Rounded Corners 10">
          <a:extLst>
            <a:ext uri="{FF2B5EF4-FFF2-40B4-BE49-F238E27FC236}">
              <a16:creationId xmlns:a16="http://schemas.microsoft.com/office/drawing/2014/main" id="{E492D7F0-D618-90DA-E5FB-222FC0F24317}"/>
            </a:ext>
          </a:extLst>
        </xdr:cNvPr>
        <xdr:cNvSpPr/>
      </xdr:nvSpPr>
      <xdr:spPr>
        <a:xfrm>
          <a:off x="571500" y="607786"/>
          <a:ext cx="2567214" cy="614135"/>
        </a:xfrm>
        <a:prstGeom prst="roundRect">
          <a:avLst/>
        </a:prstGeom>
        <a:solidFill>
          <a:srgbClr val="FFFFFF"/>
        </a:solidFill>
        <a:ln w="12700">
          <a:solidFill>
            <a:srgbClr val="D9D9D9"/>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D9D9"/>
            </a:solidFill>
          </a:endParaRPr>
        </a:p>
      </xdr:txBody>
    </xdr:sp>
    <xdr:clientData/>
  </xdr:twoCellAnchor>
  <xdr:twoCellAnchor>
    <xdr:from>
      <xdr:col>5</xdr:col>
      <xdr:colOff>212272</xdr:colOff>
      <xdr:row>3</xdr:row>
      <xdr:rowOff>88900</xdr:rowOff>
    </xdr:from>
    <xdr:to>
      <xdr:col>8</xdr:col>
      <xdr:colOff>586922</xdr:colOff>
      <xdr:row>6</xdr:row>
      <xdr:rowOff>158750</xdr:rowOff>
    </xdr:to>
    <xdr:sp macro="" textlink="">
      <xdr:nvSpPr>
        <xdr:cNvPr id="13" name="Rectangle: Rounded Corners 12">
          <a:extLst>
            <a:ext uri="{FF2B5EF4-FFF2-40B4-BE49-F238E27FC236}">
              <a16:creationId xmlns:a16="http://schemas.microsoft.com/office/drawing/2014/main" id="{C73B6B13-6409-4AE3-987F-9784DB67B542}"/>
            </a:ext>
          </a:extLst>
        </xdr:cNvPr>
        <xdr:cNvSpPr/>
      </xdr:nvSpPr>
      <xdr:spPr>
        <a:xfrm>
          <a:off x="3251201" y="633186"/>
          <a:ext cx="2198007" cy="614135"/>
        </a:xfrm>
        <a:prstGeom prst="roundRect">
          <a:avLst/>
        </a:prstGeom>
        <a:solidFill>
          <a:srgbClr val="FFFFFF"/>
        </a:solidFill>
        <a:ln w="12700">
          <a:solidFill>
            <a:srgbClr val="D9D9D9"/>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D9D9"/>
            </a:solidFill>
          </a:endParaRPr>
        </a:p>
      </xdr:txBody>
    </xdr:sp>
    <xdr:clientData/>
  </xdr:twoCellAnchor>
  <xdr:twoCellAnchor>
    <xdr:from>
      <xdr:col>9</xdr:col>
      <xdr:colOff>107949</xdr:colOff>
      <xdr:row>3</xdr:row>
      <xdr:rowOff>95250</xdr:rowOff>
    </xdr:from>
    <xdr:to>
      <xdr:col>12</xdr:col>
      <xdr:colOff>580570</xdr:colOff>
      <xdr:row>6</xdr:row>
      <xdr:rowOff>165100</xdr:rowOff>
    </xdr:to>
    <xdr:sp macro="" textlink="">
      <xdr:nvSpPr>
        <xdr:cNvPr id="14" name="Rectangle: Rounded Corners 13">
          <a:extLst>
            <a:ext uri="{FF2B5EF4-FFF2-40B4-BE49-F238E27FC236}">
              <a16:creationId xmlns:a16="http://schemas.microsoft.com/office/drawing/2014/main" id="{F246DDCD-7A48-49A0-804E-0E1440D6EA4D}"/>
            </a:ext>
          </a:extLst>
        </xdr:cNvPr>
        <xdr:cNvSpPr/>
      </xdr:nvSpPr>
      <xdr:spPr>
        <a:xfrm>
          <a:off x="5578020" y="639536"/>
          <a:ext cx="2295979" cy="614135"/>
        </a:xfrm>
        <a:prstGeom prst="roundRect">
          <a:avLst/>
        </a:prstGeom>
        <a:solidFill>
          <a:srgbClr val="FFFFFF"/>
        </a:solidFill>
        <a:ln w="12700">
          <a:solidFill>
            <a:srgbClr val="D9D9D9"/>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latin typeface="+mn-lt"/>
              <a:ea typeface="+mn-ea"/>
              <a:cs typeface="+mn-cs"/>
            </a:rPr>
            <a:t>7</a:t>
          </a:r>
          <a:endParaRPr lang="en-US">
            <a:effectLst/>
          </a:endParaRPr>
        </a:p>
      </xdr:txBody>
    </xdr:sp>
    <xdr:clientData/>
  </xdr:twoCellAnchor>
  <xdr:twoCellAnchor>
    <xdr:from>
      <xdr:col>13</xdr:col>
      <xdr:colOff>99786</xdr:colOff>
      <xdr:row>3</xdr:row>
      <xdr:rowOff>80735</xdr:rowOff>
    </xdr:from>
    <xdr:to>
      <xdr:col>16</xdr:col>
      <xdr:colOff>602342</xdr:colOff>
      <xdr:row>6</xdr:row>
      <xdr:rowOff>150585</xdr:rowOff>
    </xdr:to>
    <xdr:sp macro="" textlink="">
      <xdr:nvSpPr>
        <xdr:cNvPr id="15" name="Rectangle: Rounded Corners 14">
          <a:extLst>
            <a:ext uri="{FF2B5EF4-FFF2-40B4-BE49-F238E27FC236}">
              <a16:creationId xmlns:a16="http://schemas.microsoft.com/office/drawing/2014/main" id="{1AD9658D-0A09-400B-994B-8607ADE45BB7}"/>
            </a:ext>
          </a:extLst>
        </xdr:cNvPr>
        <xdr:cNvSpPr/>
      </xdr:nvSpPr>
      <xdr:spPr>
        <a:xfrm>
          <a:off x="8001000" y="625021"/>
          <a:ext cx="2325913" cy="614135"/>
        </a:xfrm>
        <a:prstGeom prst="roundRect">
          <a:avLst/>
        </a:prstGeom>
        <a:solidFill>
          <a:srgbClr val="FFFFFF"/>
        </a:solidFill>
        <a:ln w="12700">
          <a:solidFill>
            <a:srgbClr val="D9D9D9"/>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D9D9"/>
            </a:solidFill>
          </a:endParaRPr>
        </a:p>
      </xdr:txBody>
    </xdr:sp>
    <xdr:clientData/>
  </xdr:twoCellAnchor>
  <xdr:twoCellAnchor>
    <xdr:from>
      <xdr:col>2</xdr:col>
      <xdr:colOff>94343</xdr:colOff>
      <xdr:row>3</xdr:row>
      <xdr:rowOff>89807</xdr:rowOff>
    </xdr:from>
    <xdr:to>
      <xdr:col>3</xdr:col>
      <xdr:colOff>380093</xdr:colOff>
      <xdr:row>4</xdr:row>
      <xdr:rowOff>169636</xdr:rowOff>
    </xdr:to>
    <xdr:sp macro="" textlink="">
      <xdr:nvSpPr>
        <xdr:cNvPr id="16" name="TextBox 15">
          <a:extLst>
            <a:ext uri="{FF2B5EF4-FFF2-40B4-BE49-F238E27FC236}">
              <a16:creationId xmlns:a16="http://schemas.microsoft.com/office/drawing/2014/main" id="{ADC95CF0-97AF-B4B0-BE3C-16A9C7F9A1BA}"/>
            </a:ext>
          </a:extLst>
        </xdr:cNvPr>
        <xdr:cNvSpPr txBox="1"/>
      </xdr:nvSpPr>
      <xdr:spPr>
        <a:xfrm>
          <a:off x="1309914" y="634093"/>
          <a:ext cx="893536"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404040"/>
              </a:solidFill>
            </a:rPr>
            <a:t>Total Sales</a:t>
          </a:r>
        </a:p>
      </xdr:txBody>
    </xdr:sp>
    <xdr:clientData/>
  </xdr:twoCellAnchor>
  <xdr:twoCellAnchor>
    <xdr:from>
      <xdr:col>1</xdr:col>
      <xdr:colOff>442685</xdr:colOff>
      <xdr:row>4</xdr:row>
      <xdr:rowOff>112486</xdr:rowOff>
    </xdr:from>
    <xdr:to>
      <xdr:col>4</xdr:col>
      <xdr:colOff>201385</xdr:colOff>
      <xdr:row>6</xdr:row>
      <xdr:rowOff>10886</xdr:rowOff>
    </xdr:to>
    <xdr:sp macro="" textlink="Dashboard!B4">
      <xdr:nvSpPr>
        <xdr:cNvPr id="17" name="TextBox 16">
          <a:extLst>
            <a:ext uri="{FF2B5EF4-FFF2-40B4-BE49-F238E27FC236}">
              <a16:creationId xmlns:a16="http://schemas.microsoft.com/office/drawing/2014/main" id="{D4EB80A7-E121-A8C6-32AB-F7F00596D415}"/>
            </a:ext>
          </a:extLst>
        </xdr:cNvPr>
        <xdr:cNvSpPr txBox="1"/>
      </xdr:nvSpPr>
      <xdr:spPr>
        <a:xfrm>
          <a:off x="1050471" y="838200"/>
          <a:ext cx="1582057"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092968-4B2D-44CA-AEDA-C5EE5351DDAF}" type="TxLink">
            <a:rPr lang="en-US" sz="1800" b="1" i="0" u="none" strike="noStrike">
              <a:solidFill>
                <a:srgbClr val="2E75B6"/>
              </a:solidFill>
              <a:latin typeface="Calibri"/>
              <a:ea typeface="Calibri"/>
              <a:cs typeface="Calibri"/>
            </a:rPr>
            <a:pPr algn="ctr"/>
            <a:t> Rs 13,853,000 </a:t>
          </a:fld>
          <a:endParaRPr lang="en-US" sz="1800" b="1">
            <a:solidFill>
              <a:srgbClr val="2E75B6"/>
            </a:solidFill>
          </a:endParaRPr>
        </a:p>
      </xdr:txBody>
    </xdr:sp>
    <xdr:clientData/>
  </xdr:twoCellAnchor>
  <xdr:twoCellAnchor>
    <xdr:from>
      <xdr:col>6</xdr:col>
      <xdr:colOff>172357</xdr:colOff>
      <xdr:row>3</xdr:row>
      <xdr:rowOff>119743</xdr:rowOff>
    </xdr:from>
    <xdr:to>
      <xdr:col>7</xdr:col>
      <xdr:colOff>591457</xdr:colOff>
      <xdr:row>5</xdr:row>
      <xdr:rowOff>18143</xdr:rowOff>
    </xdr:to>
    <xdr:sp macro="" textlink="">
      <xdr:nvSpPr>
        <xdr:cNvPr id="18" name="TextBox 17">
          <a:extLst>
            <a:ext uri="{FF2B5EF4-FFF2-40B4-BE49-F238E27FC236}">
              <a16:creationId xmlns:a16="http://schemas.microsoft.com/office/drawing/2014/main" id="{11DCE979-8AB6-433D-862F-7C97A67AEF33}"/>
            </a:ext>
          </a:extLst>
        </xdr:cNvPr>
        <xdr:cNvSpPr txBox="1"/>
      </xdr:nvSpPr>
      <xdr:spPr>
        <a:xfrm>
          <a:off x="3819071" y="664029"/>
          <a:ext cx="1026886" cy="261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404040"/>
              </a:solidFill>
            </a:rPr>
            <a:t>Total</a:t>
          </a:r>
          <a:r>
            <a:rPr lang="en-US" sz="1200" b="1" baseline="0">
              <a:solidFill>
                <a:srgbClr val="404040"/>
              </a:solidFill>
            </a:rPr>
            <a:t> Orders</a:t>
          </a:r>
          <a:endParaRPr lang="en-US" sz="1200" b="1">
            <a:solidFill>
              <a:srgbClr val="404040"/>
            </a:solidFill>
          </a:endParaRPr>
        </a:p>
      </xdr:txBody>
    </xdr:sp>
    <xdr:clientData/>
  </xdr:twoCellAnchor>
  <xdr:twoCellAnchor>
    <xdr:from>
      <xdr:col>5</xdr:col>
      <xdr:colOff>512536</xdr:colOff>
      <xdr:row>4</xdr:row>
      <xdr:rowOff>132443</xdr:rowOff>
    </xdr:from>
    <xdr:to>
      <xdr:col>8</xdr:col>
      <xdr:colOff>271236</xdr:colOff>
      <xdr:row>6</xdr:row>
      <xdr:rowOff>87993</xdr:rowOff>
    </xdr:to>
    <xdr:sp macro="" textlink="Dashboard!D4">
      <xdr:nvSpPr>
        <xdr:cNvPr id="19" name="TextBox 18">
          <a:extLst>
            <a:ext uri="{FF2B5EF4-FFF2-40B4-BE49-F238E27FC236}">
              <a16:creationId xmlns:a16="http://schemas.microsoft.com/office/drawing/2014/main" id="{0146FFC5-B632-4B4F-8775-67C86214CC98}"/>
            </a:ext>
          </a:extLst>
        </xdr:cNvPr>
        <xdr:cNvSpPr txBox="1"/>
      </xdr:nvSpPr>
      <xdr:spPr>
        <a:xfrm>
          <a:off x="3551465" y="858157"/>
          <a:ext cx="1582057" cy="3184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F39766-805A-4804-867A-772AED3B395B}" type="TxLink">
            <a:rPr lang="en-US" sz="2000" b="1" i="0" u="none" strike="noStrike">
              <a:solidFill>
                <a:srgbClr val="70AD47"/>
              </a:solidFill>
              <a:latin typeface="Calibri"/>
              <a:ea typeface="Calibri"/>
              <a:cs typeface="Calibri"/>
            </a:rPr>
            <a:pPr algn="ctr"/>
            <a:t> 103 </a:t>
          </a:fld>
          <a:endParaRPr lang="en-US" sz="2000" b="1">
            <a:solidFill>
              <a:srgbClr val="70AD47"/>
            </a:solidFill>
          </a:endParaRPr>
        </a:p>
      </xdr:txBody>
    </xdr:sp>
    <xdr:clientData/>
  </xdr:twoCellAnchor>
  <xdr:twoCellAnchor>
    <xdr:from>
      <xdr:col>10</xdr:col>
      <xdr:colOff>79828</xdr:colOff>
      <xdr:row>3</xdr:row>
      <xdr:rowOff>111579</xdr:rowOff>
    </xdr:from>
    <xdr:to>
      <xdr:col>12</xdr:col>
      <xdr:colOff>22678</xdr:colOff>
      <xdr:row>4</xdr:row>
      <xdr:rowOff>143329</xdr:rowOff>
    </xdr:to>
    <xdr:sp macro="" textlink="">
      <xdr:nvSpPr>
        <xdr:cNvPr id="20" name="TextBox 19">
          <a:extLst>
            <a:ext uri="{FF2B5EF4-FFF2-40B4-BE49-F238E27FC236}">
              <a16:creationId xmlns:a16="http://schemas.microsoft.com/office/drawing/2014/main" id="{A99225EF-6720-660D-A843-AE2F53977FCC}"/>
            </a:ext>
          </a:extLst>
        </xdr:cNvPr>
        <xdr:cNvSpPr txBox="1"/>
      </xdr:nvSpPr>
      <xdr:spPr>
        <a:xfrm>
          <a:off x="6157685" y="655865"/>
          <a:ext cx="1158422" cy="2131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Quantity</a:t>
          </a:r>
        </a:p>
      </xdr:txBody>
    </xdr:sp>
    <xdr:clientData/>
  </xdr:twoCellAnchor>
  <xdr:twoCellAnchor>
    <xdr:from>
      <xdr:col>10</xdr:col>
      <xdr:colOff>338364</xdr:colOff>
      <xdr:row>4</xdr:row>
      <xdr:rowOff>118835</xdr:rowOff>
    </xdr:from>
    <xdr:to>
      <xdr:col>11</xdr:col>
      <xdr:colOff>408214</xdr:colOff>
      <xdr:row>6</xdr:row>
      <xdr:rowOff>74385</xdr:rowOff>
    </xdr:to>
    <xdr:sp macro="" textlink="Dashboard!F4">
      <xdr:nvSpPr>
        <xdr:cNvPr id="21" name="TextBox 20">
          <a:extLst>
            <a:ext uri="{FF2B5EF4-FFF2-40B4-BE49-F238E27FC236}">
              <a16:creationId xmlns:a16="http://schemas.microsoft.com/office/drawing/2014/main" id="{E9F8905E-C50C-AF8F-FCB4-567A59D9B2D7}"/>
            </a:ext>
          </a:extLst>
        </xdr:cNvPr>
        <xdr:cNvSpPr txBox="1"/>
      </xdr:nvSpPr>
      <xdr:spPr>
        <a:xfrm>
          <a:off x="6416221" y="844549"/>
          <a:ext cx="677636" cy="3184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2DD2B3-CE8E-4DCE-8A64-51B16BDE6AD7}" type="TxLink">
            <a:rPr lang="en-US" sz="2000" b="1" i="0" u="none" strike="noStrike">
              <a:solidFill>
                <a:srgbClr val="7030A0"/>
              </a:solidFill>
              <a:latin typeface="Calibri"/>
              <a:ea typeface="Calibri"/>
              <a:cs typeface="Calibri"/>
            </a:rPr>
            <a:pPr algn="ctr"/>
            <a:t>323</a:t>
          </a:fld>
          <a:endParaRPr lang="en-US" sz="2000" b="1">
            <a:solidFill>
              <a:srgbClr val="7030A0"/>
            </a:solidFill>
          </a:endParaRPr>
        </a:p>
      </xdr:txBody>
    </xdr:sp>
    <xdr:clientData/>
  </xdr:twoCellAnchor>
  <xdr:twoCellAnchor>
    <xdr:from>
      <xdr:col>13</xdr:col>
      <xdr:colOff>437243</xdr:colOff>
      <xdr:row>3</xdr:row>
      <xdr:rowOff>111578</xdr:rowOff>
    </xdr:from>
    <xdr:to>
      <xdr:col>16</xdr:col>
      <xdr:colOff>195943</xdr:colOff>
      <xdr:row>4</xdr:row>
      <xdr:rowOff>130628</xdr:rowOff>
    </xdr:to>
    <xdr:sp macro="" textlink="">
      <xdr:nvSpPr>
        <xdr:cNvPr id="22" name="TextBox 21">
          <a:extLst>
            <a:ext uri="{FF2B5EF4-FFF2-40B4-BE49-F238E27FC236}">
              <a16:creationId xmlns:a16="http://schemas.microsoft.com/office/drawing/2014/main" id="{ED81FA73-4F72-3F1D-0178-BA5D75C81C90}"/>
            </a:ext>
          </a:extLst>
        </xdr:cNvPr>
        <xdr:cNvSpPr txBox="1"/>
      </xdr:nvSpPr>
      <xdr:spPr>
        <a:xfrm>
          <a:off x="8338457" y="655864"/>
          <a:ext cx="1582057" cy="2004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Order Value</a:t>
          </a:r>
        </a:p>
      </xdr:txBody>
    </xdr:sp>
    <xdr:clientData/>
  </xdr:twoCellAnchor>
  <xdr:twoCellAnchor>
    <xdr:from>
      <xdr:col>14</xdr:col>
      <xdr:colOff>0</xdr:colOff>
      <xdr:row>4</xdr:row>
      <xdr:rowOff>148771</xdr:rowOff>
    </xdr:from>
    <xdr:to>
      <xdr:col>15</xdr:col>
      <xdr:colOff>525236</xdr:colOff>
      <xdr:row>6</xdr:row>
      <xdr:rowOff>91621</xdr:rowOff>
    </xdr:to>
    <xdr:sp macro="" textlink="Dashboard!H4">
      <xdr:nvSpPr>
        <xdr:cNvPr id="23" name="TextBox 22">
          <a:extLst>
            <a:ext uri="{FF2B5EF4-FFF2-40B4-BE49-F238E27FC236}">
              <a16:creationId xmlns:a16="http://schemas.microsoft.com/office/drawing/2014/main" id="{39F9D6F4-17C5-D3F1-AE4A-3427DAC744D5}"/>
            </a:ext>
          </a:extLst>
        </xdr:cNvPr>
        <xdr:cNvSpPr txBox="1"/>
      </xdr:nvSpPr>
      <xdr:spPr>
        <a:xfrm>
          <a:off x="8509000" y="874485"/>
          <a:ext cx="1133022" cy="305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DFF260-FF45-4D65-A5A4-5EC6B55AFFF8}" type="TxLink">
            <a:rPr lang="en-US" sz="2000" b="1" i="0" u="none" strike="noStrike">
              <a:solidFill>
                <a:srgbClr val="ED7D31"/>
              </a:solidFill>
              <a:latin typeface="Calibri"/>
              <a:ea typeface="Calibri"/>
              <a:cs typeface="Calibri"/>
            </a:rPr>
            <a:pPr algn="ctr"/>
            <a:t> 134,495 </a:t>
          </a:fld>
          <a:endParaRPr lang="en-US" sz="2000" b="1">
            <a:solidFill>
              <a:srgbClr val="ED7D31"/>
            </a:solidFill>
          </a:endParaRPr>
        </a:p>
      </xdr:txBody>
    </xdr:sp>
    <xdr:clientData/>
  </xdr:twoCellAnchor>
  <xdr:twoCellAnchor>
    <xdr:from>
      <xdr:col>0</xdr:col>
      <xdr:colOff>562428</xdr:colOff>
      <xdr:row>12</xdr:row>
      <xdr:rowOff>145143</xdr:rowOff>
    </xdr:from>
    <xdr:to>
      <xdr:col>6</xdr:col>
      <xdr:colOff>190499</xdr:colOff>
      <xdr:row>22</xdr:row>
      <xdr:rowOff>54428</xdr:rowOff>
    </xdr:to>
    <xdr:sp macro="" textlink="">
      <xdr:nvSpPr>
        <xdr:cNvPr id="24" name="Rectangle: Rounded Corners 23">
          <a:extLst>
            <a:ext uri="{FF2B5EF4-FFF2-40B4-BE49-F238E27FC236}">
              <a16:creationId xmlns:a16="http://schemas.microsoft.com/office/drawing/2014/main" id="{C45A4958-2060-46E5-7807-BEA7CD954AA4}"/>
            </a:ext>
          </a:extLst>
        </xdr:cNvPr>
        <xdr:cNvSpPr/>
      </xdr:nvSpPr>
      <xdr:spPr>
        <a:xfrm>
          <a:off x="562428" y="2322286"/>
          <a:ext cx="3274785" cy="1723571"/>
        </a:xfrm>
        <a:prstGeom prst="roundRect">
          <a:avLst/>
        </a:prstGeom>
        <a:solidFill>
          <a:schemeClr val="bg1"/>
        </a:solidFill>
        <a:ln w="12700">
          <a:solidFill>
            <a:srgbClr val="D9D9D9"/>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297543</xdr:colOff>
      <xdr:row>12</xdr:row>
      <xdr:rowOff>154214</xdr:rowOff>
    </xdr:from>
    <xdr:to>
      <xdr:col>11</xdr:col>
      <xdr:colOff>444500</xdr:colOff>
      <xdr:row>22</xdr:row>
      <xdr:rowOff>36285</xdr:rowOff>
    </xdr:to>
    <xdr:sp macro="" textlink="">
      <xdr:nvSpPr>
        <xdr:cNvPr id="25" name="Rectangle: Rounded Corners 24">
          <a:extLst>
            <a:ext uri="{FF2B5EF4-FFF2-40B4-BE49-F238E27FC236}">
              <a16:creationId xmlns:a16="http://schemas.microsoft.com/office/drawing/2014/main" id="{42C0C6A1-347B-4930-8604-2EA39DE74CCA}"/>
            </a:ext>
          </a:extLst>
        </xdr:cNvPr>
        <xdr:cNvSpPr/>
      </xdr:nvSpPr>
      <xdr:spPr>
        <a:xfrm>
          <a:off x="3944257" y="2331357"/>
          <a:ext cx="3185886" cy="1696357"/>
        </a:xfrm>
        <a:prstGeom prst="roundRect">
          <a:avLst/>
        </a:prstGeom>
        <a:solidFill>
          <a:schemeClr val="bg1"/>
        </a:solidFill>
        <a:ln w="12700">
          <a:solidFill>
            <a:srgbClr val="D9D9D9"/>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562428</xdr:colOff>
      <xdr:row>12</xdr:row>
      <xdr:rowOff>159657</xdr:rowOff>
    </xdr:from>
    <xdr:to>
      <xdr:col>17</xdr:col>
      <xdr:colOff>50800</xdr:colOff>
      <xdr:row>22</xdr:row>
      <xdr:rowOff>45357</xdr:rowOff>
    </xdr:to>
    <xdr:sp macro="" textlink="">
      <xdr:nvSpPr>
        <xdr:cNvPr id="26" name="Rectangle: Rounded Corners 25">
          <a:extLst>
            <a:ext uri="{FF2B5EF4-FFF2-40B4-BE49-F238E27FC236}">
              <a16:creationId xmlns:a16="http://schemas.microsoft.com/office/drawing/2014/main" id="{C63EA8B9-86A2-416B-882D-06B0BCFE5F53}"/>
            </a:ext>
          </a:extLst>
        </xdr:cNvPr>
        <xdr:cNvSpPr/>
      </xdr:nvSpPr>
      <xdr:spPr>
        <a:xfrm>
          <a:off x="7248071" y="2336800"/>
          <a:ext cx="3135086" cy="1699986"/>
        </a:xfrm>
        <a:prstGeom prst="roundRect">
          <a:avLst/>
        </a:prstGeom>
        <a:solidFill>
          <a:schemeClr val="bg1"/>
        </a:solidFill>
        <a:ln w="12700">
          <a:solidFill>
            <a:srgbClr val="D9D9D9"/>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54429</xdr:colOff>
      <xdr:row>13</xdr:row>
      <xdr:rowOff>72572</xdr:rowOff>
    </xdr:from>
    <xdr:to>
      <xdr:col>6</xdr:col>
      <xdr:colOff>145143</xdr:colOff>
      <xdr:row>21</xdr:row>
      <xdr:rowOff>136072</xdr:rowOff>
    </xdr:to>
    <xdr:graphicFrame macro="">
      <xdr:nvGraphicFramePr>
        <xdr:cNvPr id="27" name="Chart 26">
          <a:extLst>
            <a:ext uri="{FF2B5EF4-FFF2-40B4-BE49-F238E27FC236}">
              <a16:creationId xmlns:a16="http://schemas.microsoft.com/office/drawing/2014/main" id="{70FCBF7E-F3B7-4C6D-AD3E-D58E113E1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426357</xdr:colOff>
      <xdr:row>13</xdr:row>
      <xdr:rowOff>27215</xdr:rowOff>
    </xdr:from>
    <xdr:to>
      <xdr:col>11</xdr:col>
      <xdr:colOff>326571</xdr:colOff>
      <xdr:row>21</xdr:row>
      <xdr:rowOff>145143</xdr:rowOff>
    </xdr:to>
    <xdr:graphicFrame macro="">
      <xdr:nvGraphicFramePr>
        <xdr:cNvPr id="28" name="Chart 27">
          <a:extLst>
            <a:ext uri="{FF2B5EF4-FFF2-40B4-BE49-F238E27FC236}">
              <a16:creationId xmlns:a16="http://schemas.microsoft.com/office/drawing/2014/main" id="{B8800341-A677-4DEB-B556-30A56146D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126999</xdr:colOff>
      <xdr:row>13</xdr:row>
      <xdr:rowOff>32657</xdr:rowOff>
    </xdr:from>
    <xdr:to>
      <xdr:col>16</xdr:col>
      <xdr:colOff>498929</xdr:colOff>
      <xdr:row>21</xdr:row>
      <xdr:rowOff>172357</xdr:rowOff>
    </xdr:to>
    <xdr:graphicFrame macro="">
      <xdr:nvGraphicFramePr>
        <xdr:cNvPr id="29" name="Chart 28">
          <a:extLst>
            <a:ext uri="{FF2B5EF4-FFF2-40B4-BE49-F238E27FC236}">
              <a16:creationId xmlns:a16="http://schemas.microsoft.com/office/drawing/2014/main" id="{80865202-6ADB-41F8-B30C-9DF61D458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281214</xdr:colOff>
      <xdr:row>22</xdr:row>
      <xdr:rowOff>127000</xdr:rowOff>
    </xdr:from>
    <xdr:to>
      <xdr:col>17</xdr:col>
      <xdr:colOff>136072</xdr:colOff>
      <xdr:row>28</xdr:row>
      <xdr:rowOff>108857</xdr:rowOff>
    </xdr:to>
    <xdr:sp macro="" textlink="">
      <xdr:nvSpPr>
        <xdr:cNvPr id="30" name="Rectangle: Rounded Corners 29">
          <a:extLst>
            <a:ext uri="{FF2B5EF4-FFF2-40B4-BE49-F238E27FC236}">
              <a16:creationId xmlns:a16="http://schemas.microsoft.com/office/drawing/2014/main" id="{F7CAB7D3-BD23-4F04-2E80-8EB724F77E46}"/>
            </a:ext>
          </a:extLst>
        </xdr:cNvPr>
        <xdr:cNvSpPr/>
      </xdr:nvSpPr>
      <xdr:spPr>
        <a:xfrm>
          <a:off x="5751285" y="4118429"/>
          <a:ext cx="4717144" cy="1070428"/>
        </a:xfrm>
        <a:prstGeom prst="roundRect">
          <a:avLst/>
        </a:prstGeom>
        <a:solidFill>
          <a:sysClr val="window" lastClr="FFFFFF"/>
        </a:solidFill>
        <a:ln>
          <a:solidFill>
            <a:srgbClr val="D9D9D9"/>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589644</xdr:colOff>
      <xdr:row>22</xdr:row>
      <xdr:rowOff>172357</xdr:rowOff>
    </xdr:from>
    <xdr:to>
      <xdr:col>17</xdr:col>
      <xdr:colOff>36287</xdr:colOff>
      <xdr:row>28</xdr:row>
      <xdr:rowOff>54429</xdr:rowOff>
    </xdr:to>
    <xdr:graphicFrame macro="">
      <xdr:nvGraphicFramePr>
        <xdr:cNvPr id="31" name="Chart 30">
          <a:extLst>
            <a:ext uri="{FF2B5EF4-FFF2-40B4-BE49-F238E27FC236}">
              <a16:creationId xmlns:a16="http://schemas.microsoft.com/office/drawing/2014/main" id="{4E8B5C0D-6B16-4AC8-9442-FAABC5F7B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0.076238657406" createdVersion="8" refreshedVersion="8" minRefreshableVersion="3" recordCount="103" xr:uid="{94B1F878-BD0C-4B7B-ADE2-FE2FDC927EA0}">
  <cacheSource type="worksheet">
    <worksheetSource name="SalesData"/>
  </cacheSource>
  <cacheFields count="21">
    <cacheField name="Order_ID" numFmtId="0">
      <sharedItems/>
    </cacheField>
    <cacheField name="Customer_Name" numFmtId="0">
      <sharedItems/>
    </cacheField>
    <cacheField name="Email" numFmtId="0">
      <sharedItems/>
    </cacheField>
    <cacheField name="Phone" numFmtId="0">
      <sharedItems containsMixedTypes="1" containsNumber="1" containsInteger="1" minValue="3026005700" maxValue="3026005700"/>
    </cacheField>
    <cacheField name="Phone_Cleaned" numFmtId="0">
      <sharedItems/>
    </cacheField>
    <cacheField name="City" numFmtId="0">
      <sharedItems containsBlank="1" count="10">
        <s v="Faisalabad"/>
        <s v="Karachi"/>
        <s v="Sialkot"/>
        <s v="Unknown"/>
        <s v="Rawalpindi"/>
        <s v="Peshawar"/>
        <s v="Multan"/>
        <s v="Islamabad"/>
        <s v="Lahore"/>
        <m u="1"/>
      </sharedItems>
    </cacheField>
    <cacheField name="Product" numFmtId="0">
      <sharedItems/>
    </cacheField>
    <cacheField name="Category" numFmtId="0">
      <sharedItems containsBlank="1" count="7">
        <s v="Electronics"/>
        <s v="Home Appliances"/>
        <s v="Apparel"/>
        <s v="Furniture"/>
        <s v="Accessories"/>
        <s v="Unknown"/>
        <m u="1"/>
      </sharedItems>
    </cacheField>
    <cacheField name="Order_Date" numFmtId="169">
      <sharedItems containsSemiMixedTypes="0" containsNonDate="0" containsDate="1" containsString="0" minDate="2026-07-02T00:00:00" maxDate="2026-08-21T00:00:00" count="43">
        <d v="2026-08-15T00:00:00"/>
        <d v="2026-07-13T00:00:00"/>
        <d v="2026-07-12T00:00:00"/>
        <d v="2026-08-20T00:00:00"/>
        <d v="2026-07-27T00:00:00"/>
        <d v="2026-07-04T00:00:00"/>
        <d v="2026-08-12T00:00:00"/>
        <d v="2026-07-14T00:00:00"/>
        <d v="2026-07-30T00:00:00"/>
        <d v="2026-08-04T00:00:00"/>
        <d v="2026-08-02T00:00:00"/>
        <d v="2026-08-11T00:00:00"/>
        <d v="2026-07-19T00:00:00"/>
        <d v="2026-07-16T00:00:00"/>
        <d v="2026-08-10T00:00:00"/>
        <d v="2026-07-03T00:00:00"/>
        <d v="2026-08-19T00:00:00"/>
        <d v="2026-08-16T00:00:00"/>
        <d v="2026-08-07T00:00:00"/>
        <d v="2026-07-18T00:00:00"/>
        <d v="2026-08-18T00:00:00"/>
        <d v="2026-07-06T00:00:00"/>
        <d v="2026-08-05T00:00:00"/>
        <d v="2026-08-13T00:00:00"/>
        <d v="2026-07-08T00:00:00"/>
        <d v="2026-07-25T00:00:00"/>
        <d v="2026-08-01T00:00:00"/>
        <d v="2026-07-24T00:00:00"/>
        <d v="2026-07-20T00:00:00"/>
        <d v="2026-08-06T00:00:00"/>
        <d v="2026-07-07T00:00:00"/>
        <d v="2026-08-14T00:00:00"/>
        <d v="2026-07-28T00:00:00"/>
        <d v="2026-07-09T00:00:00"/>
        <d v="2026-08-03T00:00:00"/>
        <d v="2026-07-17T00:00:00"/>
        <d v="2026-07-02T00:00:00"/>
        <d v="2026-08-08T00:00:00"/>
        <d v="2026-07-29T00:00:00"/>
        <d v="2026-07-21T00:00:00"/>
        <d v="2026-07-22T00:00:00"/>
        <d v="2026-07-31T00:00:00"/>
        <d v="2026-07-10T00:00:00"/>
      </sharedItems>
      <fieldGroup par="20"/>
    </cacheField>
    <cacheField name="Quantity" numFmtId="0">
      <sharedItems containsSemiMixedTypes="0" containsString="0" containsNumber="1" containsInteger="1" minValue="1" maxValue="5"/>
    </cacheField>
    <cacheField name="Unit_Price" numFmtId="41">
      <sharedItems containsSemiMixedTypes="0" containsString="0" containsNumber="1" containsInteger="1" minValue="1500" maxValue="120000"/>
    </cacheField>
    <cacheField name="Total_Sales" numFmtId="170">
      <sharedItems containsSemiMixedTypes="0" containsString="0" containsNumber="1" containsInteger="1" minValue="1500" maxValue="600000"/>
    </cacheField>
    <cacheField name="Payment_Method" numFmtId="0">
      <sharedItems containsBlank="1" count="6">
        <s v="Not Specified"/>
        <s v="Credit Card"/>
        <s v="Bank Transfer"/>
        <s v="Cash"/>
        <s v="JazzCash"/>
        <m u="1"/>
      </sharedItems>
    </cacheField>
    <cacheField name="Customer_Status" numFmtId="0">
      <sharedItems count="4">
        <s v="Pending"/>
        <s v="InActive"/>
        <s v="Active"/>
        <s v="Unknown"/>
      </sharedItems>
    </cacheField>
    <cacheField name="Delivery_Date" numFmtId="168">
      <sharedItems containsSemiMixedTypes="0" containsNonDate="0" containsDate="1" containsString="0" minDate="2026-07-04T00:00:00" maxDate="2026-08-27T00:00:00"/>
    </cacheField>
    <cacheField name="Order_Prefix (Left)" numFmtId="0">
      <sharedItems/>
    </cacheField>
    <cacheField name="Order_Number (Right)" numFmtId="0">
      <sharedItems/>
    </cacheField>
    <cacheField name="Separator_Position" numFmtId="0">
      <sharedItems containsSemiMixedTypes="0" containsString="0" containsNumber="1" containsInteger="1" minValue="4" maxValue="4"/>
    </cacheField>
    <cacheField name="MID_Number" numFmtId="0">
      <sharedItems/>
    </cacheField>
    <cacheField name="Months (Order_Date)" numFmtId="0" databaseField="0">
      <fieldGroup base="8">
        <rangePr groupBy="months" startDate="2026-07-02T00:00:00" endDate="2026-08-21T00:00:00"/>
        <groupItems count="14">
          <s v="&lt;7/2/2026"/>
          <s v="Jan"/>
          <s v="Feb"/>
          <s v="Mar"/>
          <s v="Apr"/>
          <s v="May"/>
          <s v="Jun"/>
          <s v="Jul"/>
          <s v="Aug"/>
          <s v="Sep"/>
          <s v="Oct"/>
          <s v="Nov"/>
          <s v="Dec"/>
          <s v="&gt;8/21/2026"/>
        </groupItems>
      </fieldGroup>
    </cacheField>
    <cacheField name="Years (Order_Date)" numFmtId="0" databaseField="0">
      <fieldGroup base="8">
        <rangePr groupBy="years" startDate="2026-07-02T00:00:00" endDate="2026-08-21T00:00:00"/>
        <groupItems count="3">
          <s v="&lt;7/2/2026"/>
          <s v="2026"/>
          <s v="&gt;8/21/2026"/>
        </groupItems>
      </fieldGroup>
    </cacheField>
  </cacheFields>
  <extLst>
    <ext xmlns:x14="http://schemas.microsoft.com/office/spreadsheetml/2009/9/main" uri="{725AE2AE-9491-48be-B2B4-4EB974FC3084}">
      <x14:pivotCacheDefinition pivotCacheId="1275533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
  <r>
    <s v="ORD-1012"/>
    <s v="Noor Farooq"/>
    <s v="noor.farooq@gmail.com"/>
    <s v="0312 2229110"/>
    <s v="03122229110"/>
    <x v="0"/>
    <s v="Headphones"/>
    <x v="0"/>
    <x v="0"/>
    <n v="5"/>
    <n v="120000"/>
    <n v="600000"/>
    <x v="0"/>
    <x v="0"/>
    <d v="2026-08-19T00:00:00"/>
    <s v="ORD"/>
    <s v="1012"/>
    <n v="4"/>
    <s v="1012"/>
  </r>
  <r>
    <s v="ORD-1024"/>
    <s v="Mahnoor Rana"/>
    <s v="mahnoor.rana@outlook.com"/>
    <s v="0377-2921542"/>
    <s v="03772921542"/>
    <x v="1"/>
    <s v="Air Fryer"/>
    <x v="1"/>
    <x v="1"/>
    <n v="5"/>
    <n v="120000"/>
    <n v="600000"/>
    <x v="1"/>
    <x v="0"/>
    <d v="2026-07-15T00:00:00"/>
    <s v="ORD"/>
    <s v="1024"/>
    <n v="4"/>
    <s v="1024"/>
  </r>
  <r>
    <s v="ORD-1025"/>
    <s v="Umar Malik"/>
    <s v="umar.malik@gmail.com"/>
    <s v="0364-6724909"/>
    <s v="03646724909"/>
    <x v="2"/>
    <s v="Jacket"/>
    <x v="2"/>
    <x v="2"/>
    <n v="5"/>
    <n v="120000"/>
    <n v="600000"/>
    <x v="1"/>
    <x v="1"/>
    <d v="2026-07-19T00:00:00"/>
    <s v="ORD"/>
    <s v="1025"/>
    <n v="4"/>
    <s v="1025"/>
  </r>
  <r>
    <s v="ORD-1049"/>
    <s v="Faisal Iqbal"/>
    <s v="faisal.iqbal@hotmail.com"/>
    <s v="03734794319"/>
    <s v="03734794319"/>
    <x v="3"/>
    <s v="Bookshelf"/>
    <x v="3"/>
    <x v="2"/>
    <n v="5"/>
    <n v="120000"/>
    <n v="600000"/>
    <x v="2"/>
    <x v="0"/>
    <d v="2026-07-15T00:00:00"/>
    <s v="ORD"/>
    <s v="1049"/>
    <n v="4"/>
    <s v="1049"/>
  </r>
  <r>
    <s v="ORD-1080"/>
    <s v="Umar Malik"/>
    <s v="umar.malik@hotmail.com"/>
    <s v="0363 3251501"/>
    <s v="03633251501"/>
    <x v="4"/>
    <s v="Wrist Watch"/>
    <x v="4"/>
    <x v="3"/>
    <n v="5"/>
    <n v="120000"/>
    <n v="600000"/>
    <x v="1"/>
    <x v="0"/>
    <d v="2026-08-24T00:00:00"/>
    <s v="ORD"/>
    <s v="1080"/>
    <n v="4"/>
    <s v="1080"/>
  </r>
  <r>
    <s v="ORD-1017"/>
    <s v="Anum Siddiqui"/>
    <s v="anum.siddiqui@yahoo.com"/>
    <s v="0342 6266630"/>
    <s v="03426266630"/>
    <x v="0"/>
    <s v="Sunglasses"/>
    <x v="4"/>
    <x v="4"/>
    <n v="4"/>
    <n v="120000"/>
    <n v="480000"/>
    <x v="3"/>
    <x v="2"/>
    <d v="2026-08-03T00:00:00"/>
    <s v="ORD"/>
    <s v="1017"/>
    <n v="4"/>
    <s v="1017"/>
  </r>
  <r>
    <s v="ORD-1083"/>
    <s v="Naveed Malik"/>
    <s v="naveed.malik@yahoo.com"/>
    <s v="0366-8412854"/>
    <s v="03668412854"/>
    <x v="2"/>
    <s v="Wrist Watch"/>
    <x v="4"/>
    <x v="5"/>
    <n v="4"/>
    <n v="120000"/>
    <n v="480000"/>
    <x v="1"/>
    <x v="1"/>
    <d v="2026-07-10T00:00:00"/>
    <s v="ORD"/>
    <s v="1083"/>
    <n v="4"/>
    <s v="1083"/>
  </r>
  <r>
    <s v="ORD-1091"/>
    <s v="Danish Abbasi"/>
    <s v="danish.abbasi@gmail.com"/>
    <s v="0385-1813936"/>
    <s v="03851813936"/>
    <x v="4"/>
    <s v="Laptop"/>
    <x v="0"/>
    <x v="6"/>
    <n v="4"/>
    <n v="120000"/>
    <n v="480000"/>
    <x v="0"/>
    <x v="1"/>
    <d v="2026-08-18T00:00:00"/>
    <s v="ORD"/>
    <s v="1091"/>
    <n v="4"/>
    <s v="1091"/>
  </r>
  <r>
    <s v="ORD-1029"/>
    <s v="Ali Rana"/>
    <s v="ali.rana@outlook.com"/>
    <s v="0361-2914064"/>
    <s v="03612914064"/>
    <x v="1"/>
    <s v="Air Fryer"/>
    <x v="1"/>
    <x v="4"/>
    <n v="5"/>
    <n v="85000"/>
    <n v="425000"/>
    <x v="1"/>
    <x v="1"/>
    <d v="2026-08-02T00:00:00"/>
    <s v="ORD"/>
    <s v="1029"/>
    <n v="4"/>
    <s v="1029"/>
  </r>
  <r>
    <s v="ORD-1060"/>
    <s v="Zainab Javed"/>
    <s v="zainab.javed@hotmail.com"/>
    <s v="0318-3308538"/>
    <s v="03183308538"/>
    <x v="2"/>
    <s v="Blender"/>
    <x v="1"/>
    <x v="7"/>
    <n v="5"/>
    <n v="85000"/>
    <n v="425000"/>
    <x v="4"/>
    <x v="0"/>
    <d v="2026-07-17T00:00:00"/>
    <s v="ORD"/>
    <s v="1060"/>
    <n v="4"/>
    <s v="1060"/>
  </r>
  <r>
    <s v="ORD-1003"/>
    <s v="Waqas Ali"/>
    <s v="waqas.ali@gmail.com"/>
    <s v="03207210606"/>
    <s v="03207210606"/>
    <x v="0"/>
    <s v="Headphones"/>
    <x v="0"/>
    <x v="8"/>
    <n v="3"/>
    <n v="120000"/>
    <n v="360000"/>
    <x v="4"/>
    <x v="2"/>
    <d v="2026-08-04T00:00:00"/>
    <s v="ORD"/>
    <s v="1003"/>
    <n v="4"/>
    <s v="1003"/>
  </r>
  <r>
    <s v="ORD-1037"/>
    <s v="Usman Baig"/>
    <s v=" usman.baig@outlook.com"/>
    <s v="03192255409"/>
    <s v="03192255409"/>
    <x v="0"/>
    <s v="Handbag"/>
    <x v="4"/>
    <x v="9"/>
    <n v="3"/>
    <n v="120000"/>
    <n v="360000"/>
    <x v="4"/>
    <x v="2"/>
    <d v="2026-08-09T00:00:00"/>
    <s v="ORD"/>
    <s v="1037"/>
    <n v="4"/>
    <s v="1037"/>
  </r>
  <r>
    <s v="ORD-1016"/>
    <s v="Rabia Javed"/>
    <s v="rabia.javed@outlook.com"/>
    <s v="03032935113"/>
    <s v="03032935113"/>
    <x v="0"/>
    <s v="Sunglasses"/>
    <x v="4"/>
    <x v="10"/>
    <n v="4"/>
    <n v="85000"/>
    <n v="340000"/>
    <x v="1"/>
    <x v="0"/>
    <d v="2026-08-04T00:00:00"/>
    <s v="ORD"/>
    <s v="1016"/>
    <n v="4"/>
    <s v="1016"/>
  </r>
  <r>
    <s v="ORD-1043"/>
    <s v="Hira Qureshi"/>
    <s v="hira.qureshi@gmail.com"/>
    <s v="0312 4939290"/>
    <s v="03124939290"/>
    <x v="2"/>
    <s v="Vacuum Cleaner"/>
    <x v="1"/>
    <x v="11"/>
    <n v="4"/>
    <n v="85000"/>
    <n v="340000"/>
    <x v="2"/>
    <x v="3"/>
    <d v="2026-08-13T00:00:00"/>
    <s v="ORD"/>
    <s v="1043"/>
    <n v="4"/>
    <s v="1043"/>
  </r>
  <r>
    <s v="ORD-1064"/>
    <s v="Imran Farooq"/>
    <s v="imran.farooq@outlook.com"/>
    <s v="0334 2385991"/>
    <s v="03342385991"/>
    <x v="5"/>
    <s v="Office Chair"/>
    <x v="3"/>
    <x v="12"/>
    <n v="4"/>
    <n v="85000"/>
    <n v="340000"/>
    <x v="2"/>
    <x v="1"/>
    <d v="2026-07-23T00:00:00"/>
    <s v="ORD"/>
    <s v="1064"/>
    <n v="4"/>
    <s v="1064"/>
  </r>
  <r>
    <s v="ORD-1074"/>
    <s v="Hamza Ahmed"/>
    <s v="hamza.ahmed@hotmail.com"/>
    <s v="03653345135"/>
    <s v="03653345135"/>
    <x v="6"/>
    <s v="Water Dispenser"/>
    <x v="1"/>
    <x v="10"/>
    <n v="4"/>
    <n v="85000"/>
    <n v="340000"/>
    <x v="1"/>
    <x v="2"/>
    <d v="2026-08-08T00:00:00"/>
    <s v="ORD"/>
    <s v="1074"/>
    <n v="4"/>
    <s v="1074"/>
  </r>
  <r>
    <s v="ORD-1097"/>
    <s v="Zainab Siddiqui"/>
    <s v="zainab.siddiqui@yahoo.com"/>
    <s v="03175511711"/>
    <s v="03175511711"/>
    <x v="7"/>
    <s v="Bookshelf"/>
    <x v="3"/>
    <x v="13"/>
    <n v="4"/>
    <n v="85000"/>
    <n v="340000"/>
    <x v="3"/>
    <x v="2"/>
    <d v="2026-07-23T00:00:00"/>
    <s v="ORD"/>
    <s v="1097"/>
    <n v="4"/>
    <s v="1097"/>
  </r>
  <r>
    <s v="ORD-1058"/>
    <s v="Warda Sheikh"/>
    <s v="warda.sheikh@gmail.com"/>
    <s v="0356 5780297"/>
    <s v="03565780297"/>
    <x v="4"/>
    <s v="Blender"/>
    <x v="1"/>
    <x v="8"/>
    <n v="4"/>
    <n v="65000"/>
    <n v="260000"/>
    <x v="4"/>
    <x v="2"/>
    <d v="2026-08-03T00:00:00"/>
    <s v="ORD"/>
    <s v="1058"/>
    <n v="4"/>
    <s v="1058"/>
  </r>
  <r>
    <s v="ORD-1068"/>
    <s v="Zainab Ali"/>
    <s v="zainab.ali@outlook.com"/>
    <s v="03093102634"/>
    <s v="03093102634"/>
    <x v="2"/>
    <s v="Jacket"/>
    <x v="2"/>
    <x v="2"/>
    <n v="4"/>
    <n v="65000"/>
    <n v="260000"/>
    <x v="3"/>
    <x v="1"/>
    <d v="2026-07-15T00:00:00"/>
    <s v="ORD"/>
    <s v="1068"/>
    <n v="4"/>
    <s v="1068"/>
  </r>
  <r>
    <s v="ORD-1002"/>
    <s v="Fahad Qureshi"/>
    <s v="fahad.qureshi@yahoo.com"/>
    <s v="03482622631"/>
    <s v="03482622631"/>
    <x v="0"/>
    <s v="Vacuum Cleaner"/>
    <x v="1"/>
    <x v="14"/>
    <n v="3"/>
    <n v="85000"/>
    <n v="255000"/>
    <x v="1"/>
    <x v="2"/>
    <d v="2026-08-16T00:00:00"/>
    <s v="ORD"/>
    <s v="1002"/>
    <n v="4"/>
    <s v="1002"/>
  </r>
  <r>
    <s v="ORD-1035"/>
    <s v="Rabia Qureshi"/>
    <s v="rabia.qureshi@outlook.com"/>
    <s v="0376 9526867"/>
    <s v="03769526867"/>
    <x v="1"/>
    <s v="Sunglasses"/>
    <x v="4"/>
    <x v="12"/>
    <n v="3"/>
    <n v="85000"/>
    <n v="255000"/>
    <x v="3"/>
    <x v="1"/>
    <d v="2026-07-26T00:00:00"/>
    <s v="ORD"/>
    <s v="1035"/>
    <n v="4"/>
    <s v="1035"/>
  </r>
  <r>
    <s v="ORD-1057"/>
    <s v="Hassan Anwar"/>
    <s v="hassan.anwar@outlook.com"/>
    <s v="03276733317"/>
    <s v="03276733317"/>
    <x v="7"/>
    <s v="Smart Watch"/>
    <x v="0"/>
    <x v="15"/>
    <n v="3"/>
    <n v="85000"/>
    <n v="255000"/>
    <x v="3"/>
    <x v="2"/>
    <d v="2026-07-10T00:00:00"/>
    <s v="ORD"/>
    <s v="1057"/>
    <n v="4"/>
    <s v="1057"/>
  </r>
  <r>
    <s v="ORD-1076"/>
    <s v="Iqra Qureshi"/>
    <s v="iqra.qureshi@outlook.com"/>
    <s v="0317-9702060"/>
    <s v="03179702060"/>
    <x v="2"/>
    <s v="Office Chair"/>
    <x v="3"/>
    <x v="16"/>
    <n v="3"/>
    <n v="85000"/>
    <n v="255000"/>
    <x v="4"/>
    <x v="2"/>
    <d v="2026-08-26T00:00:00"/>
    <s v="ORD"/>
    <s v="1076"/>
    <n v="4"/>
    <s v="1076"/>
  </r>
  <r>
    <s v="ORD-1040"/>
    <s v="Naveed Chaudhry"/>
    <s v=" naveed.chaudhry@hotmail.com"/>
    <s v="0301 1822825"/>
    <s v="03011822825"/>
    <x v="0"/>
    <s v="Jacket"/>
    <x v="2"/>
    <x v="17"/>
    <n v="2"/>
    <n v="120000"/>
    <n v="240000"/>
    <x v="3"/>
    <x v="3"/>
    <d v="2026-08-23T00:00:00"/>
    <s v="ORD"/>
    <s v="1040"/>
    <n v="4"/>
    <s v="1040"/>
  </r>
  <r>
    <s v="ORD-1062"/>
    <s v="Salman Siddiqui"/>
    <s v=" salman.siddiqui@outlook.com"/>
    <s v="03951272499"/>
    <s v="03951272499"/>
    <x v="6"/>
    <s v="Smart Watch"/>
    <x v="0"/>
    <x v="9"/>
    <n v="2"/>
    <n v="120000"/>
    <n v="240000"/>
    <x v="4"/>
    <x v="1"/>
    <d v="2026-08-08T00:00:00"/>
    <s v="ORD"/>
    <s v="1062"/>
    <n v="4"/>
    <s v="1062"/>
  </r>
  <r>
    <s v="ORD-1069"/>
    <s v="Fahad Sheikh"/>
    <s v="fahad.sheikh@yahoo.com"/>
    <s v="0310-5204459"/>
    <s v="03105204459"/>
    <x v="0"/>
    <s v="Water Dispenser"/>
    <x v="1"/>
    <x v="18"/>
    <n v="2"/>
    <n v="120000"/>
    <n v="240000"/>
    <x v="3"/>
    <x v="1"/>
    <d v="2026-08-10T00:00:00"/>
    <s v="ORD"/>
    <s v="1069"/>
    <n v="4"/>
    <s v="1069"/>
  </r>
  <r>
    <s v="ORD-1026"/>
    <s v="Noor Qureshi"/>
    <s v="noor.qureshi@hotmail.com"/>
    <s v="0335-8563202"/>
    <s v="03358563202"/>
    <x v="3"/>
    <s v="T-Shirt"/>
    <x v="2"/>
    <x v="19"/>
    <n v="3"/>
    <n v="65000"/>
    <n v="195000"/>
    <x v="3"/>
    <x v="2"/>
    <d v="2026-07-24T00:00:00"/>
    <s v="ORD"/>
    <s v="1026"/>
    <n v="4"/>
    <s v="1026"/>
  </r>
  <r>
    <s v="ORD-1021"/>
    <s v="Danish Ali"/>
    <s v="danish.ali@yahoo.com"/>
    <s v="03537838382"/>
    <s v="03537838382"/>
    <x v="5"/>
    <s v="Sunglasses"/>
    <x v="4"/>
    <x v="20"/>
    <n v="4"/>
    <n v="45000"/>
    <n v="180000"/>
    <x v="3"/>
    <x v="2"/>
    <d v="2026-08-24T00:00:00"/>
    <s v="ORD"/>
    <s v="1021"/>
    <n v="4"/>
    <s v="1021"/>
  </r>
  <r>
    <s v="ORD-1090"/>
    <s v="Hamza Rana"/>
    <s v=" hamza.rana@yahoo.com"/>
    <s v="03928005797"/>
    <s v="03928005797"/>
    <x v="6"/>
    <s v="Sofa Set"/>
    <x v="3"/>
    <x v="20"/>
    <n v="4"/>
    <n v="45000"/>
    <n v="180000"/>
    <x v="3"/>
    <x v="2"/>
    <d v="2026-08-23T00:00:00"/>
    <s v="ORD"/>
    <s v="1090"/>
    <n v="4"/>
    <s v="1090"/>
  </r>
  <r>
    <s v="ORD-1092"/>
    <s v="Ali Khan"/>
    <s v="ali.khan@hotmail.com"/>
    <s v="0389-8223819"/>
    <s v="03898223819"/>
    <x v="1"/>
    <s v="Water Dispenser"/>
    <x v="1"/>
    <x v="21"/>
    <n v="4"/>
    <n v="45000"/>
    <n v="180000"/>
    <x v="3"/>
    <x v="0"/>
    <d v="2026-07-10T00:00:00"/>
    <s v="ORD"/>
    <s v="1092"/>
    <n v="4"/>
    <s v="1092"/>
  </r>
  <r>
    <s v="ORD-1027"/>
    <s v="Junaid Abbasi"/>
    <s v="junaid.abbasi@yahoo.com"/>
    <s v="03022561176"/>
    <s v="03022561176"/>
    <x v="4"/>
    <s v="Jacket"/>
    <x v="2"/>
    <x v="22"/>
    <n v="3"/>
    <n v="45000"/>
    <n v="135000"/>
    <x v="1"/>
    <x v="2"/>
    <d v="2026-08-09T00:00:00"/>
    <s v="ORD"/>
    <s v="1027"/>
    <n v="4"/>
    <s v="1027"/>
  </r>
  <r>
    <s v="ORD-1066"/>
    <s v="Asad Javed"/>
    <s v="asad.javed@gmail.com"/>
    <s v="0383-5675638"/>
    <s v="03835675638"/>
    <x v="8"/>
    <s v="Handbag"/>
    <x v="4"/>
    <x v="7"/>
    <n v="3"/>
    <n v="45000"/>
    <n v="135000"/>
    <x v="1"/>
    <x v="0"/>
    <d v="2026-07-20T00:00:00"/>
    <s v="ORD"/>
    <s v="1066"/>
    <n v="4"/>
    <s v="1066"/>
  </r>
  <r>
    <s v="ORD-1070"/>
    <s v="Naveed Ahmed"/>
    <s v=" naveed.ahmed@gmail.com"/>
    <s v="0333 4536777"/>
    <s v="03334536777"/>
    <x v="8"/>
    <s v="Vacuum Cleaner"/>
    <x v="1"/>
    <x v="23"/>
    <n v="3"/>
    <n v="45000"/>
    <n v="135000"/>
    <x v="3"/>
    <x v="2"/>
    <d v="2026-08-18T00:00:00"/>
    <s v="ORD"/>
    <s v="1070"/>
    <n v="4"/>
    <s v="1070"/>
  </r>
  <r>
    <s v="ORD-1004"/>
    <s v="Ayesha Iqbal"/>
    <s v="ayesha.iqbal@hotmail.com"/>
    <s v="0372-6279418"/>
    <s v="03726279418"/>
    <x v="5"/>
    <s v="Bookshelf"/>
    <x v="3"/>
    <x v="18"/>
    <n v="5"/>
    <n v="25000"/>
    <n v="125000"/>
    <x v="2"/>
    <x v="2"/>
    <d v="2026-08-12T00:00:00"/>
    <s v="ORD"/>
    <s v="1004"/>
    <n v="4"/>
    <s v="1004"/>
  </r>
  <r>
    <s v="ORD-1034"/>
    <s v="Asad Ahmed"/>
    <s v="asad.ahmed@yahoo.com"/>
    <s v="0315 1484348"/>
    <s v="03151484348"/>
    <x v="4"/>
    <s v="Vacuum Cleaner"/>
    <x v="1"/>
    <x v="24"/>
    <n v="1"/>
    <n v="120000"/>
    <n v="120000"/>
    <x v="3"/>
    <x v="0"/>
    <d v="2026-07-13T00:00:00"/>
    <s v="ORD"/>
    <s v="1034"/>
    <n v="4"/>
    <s v="1034"/>
  </r>
  <r>
    <s v="ORD-1078"/>
    <s v="Asad Hussain"/>
    <s v="asad.hussain@yahoo.com"/>
    <s v="0389-5557052"/>
    <s v="03895557052"/>
    <x v="4"/>
    <s v="Microwave Oven "/>
    <x v="1"/>
    <x v="0"/>
    <n v="1"/>
    <n v="120000"/>
    <n v="120000"/>
    <x v="0"/>
    <x v="1"/>
    <d v="2026-08-20T00:00:00"/>
    <s v="ORD"/>
    <s v="1078"/>
    <n v="4"/>
    <s v="1078"/>
  </r>
  <r>
    <s v="ORD-1084"/>
    <s v="Ali Raza"/>
    <s v="ali.raza@gmail.com"/>
    <s v="Not Provided"/>
    <s v="NotProvided"/>
    <x v="5"/>
    <s v="Sunglasses"/>
    <x v="4"/>
    <x v="25"/>
    <n v="1"/>
    <n v="120000"/>
    <n v="120000"/>
    <x v="4"/>
    <x v="0"/>
    <d v="2026-07-30T00:00:00"/>
    <s v="ORD"/>
    <s v="1084"/>
    <n v="4"/>
    <s v="1084"/>
  </r>
  <r>
    <s v="ORD-1085"/>
    <s v="Amna Siddiqui"/>
    <s v="Not Provided"/>
    <n v="3026005700"/>
    <s v="3026005700"/>
    <x v="5"/>
    <s v="Sofa Set"/>
    <x v="3"/>
    <x v="17"/>
    <n v="1"/>
    <n v="120000"/>
    <n v="120000"/>
    <x v="2"/>
    <x v="2"/>
    <d v="2026-08-18T00:00:00"/>
    <s v="ORD"/>
    <s v="1085"/>
    <n v="4"/>
    <s v="1085"/>
  </r>
  <r>
    <s v="ORD-1050"/>
    <s v="Sara Ali"/>
    <s v="sara.ali@yahoo.com"/>
    <s v="0339 6442241"/>
    <s v="03396442241"/>
    <x v="8"/>
    <s v="Water Dispenser"/>
    <x v="1"/>
    <x v="26"/>
    <n v="4"/>
    <n v="25000"/>
    <n v="100000"/>
    <x v="1"/>
    <x v="1"/>
    <d v="2026-08-07T00:00:00"/>
    <s v="ORD"/>
    <s v="1050"/>
    <n v="4"/>
    <s v="1050"/>
  </r>
  <r>
    <s v="ORD-1001"/>
    <s v="Mahnoor Khan"/>
    <s v="mahnoor.khan@yahoo.com"/>
    <s v="0369 2458591"/>
    <s v="03692458591"/>
    <x v="8"/>
    <s v="Microwave Oven"/>
    <x v="5"/>
    <x v="9"/>
    <n v="2"/>
    <n v="45000"/>
    <n v="90000"/>
    <x v="3"/>
    <x v="3"/>
    <d v="2026-08-09T00:00:00"/>
    <s v="ORD"/>
    <s v="1001"/>
    <n v="4"/>
    <s v="1001"/>
  </r>
  <r>
    <s v="ORD-1036"/>
    <s v="Asad Siddiqui"/>
    <s v="asad.siddiqui@hotmail.com"/>
    <s v="0341 4165061"/>
    <s v="03414165061"/>
    <x v="5"/>
    <s v="Sunglasses"/>
    <x v="4"/>
    <x v="25"/>
    <n v="2"/>
    <n v="45000"/>
    <n v="90000"/>
    <x v="3"/>
    <x v="1"/>
    <d v="2026-07-30T00:00:00"/>
    <s v="ORD"/>
    <s v="1036"/>
    <n v="4"/>
    <s v="1036"/>
  </r>
  <r>
    <s v="ORD-1067"/>
    <s v="Amna Baig"/>
    <s v="amna.baig@hotmail.com"/>
    <s v="0337-6032437"/>
    <s v="03376032437"/>
    <x v="7"/>
    <s v="Smart Watch"/>
    <x v="0"/>
    <x v="27"/>
    <n v="5"/>
    <n v="18000"/>
    <n v="90000"/>
    <x v="4"/>
    <x v="1"/>
    <d v="2026-07-30T00:00:00"/>
    <s v="ORD"/>
    <s v="1067"/>
    <n v="4"/>
    <s v="1067"/>
  </r>
  <r>
    <s v="ORD-1067"/>
    <s v="Amna Baig"/>
    <s v="amna.baig@hotmail.com"/>
    <s v="0337-6032437"/>
    <s v="03376032437"/>
    <x v="7"/>
    <s v="Smart Watch"/>
    <x v="0"/>
    <x v="27"/>
    <n v="5"/>
    <n v="18000"/>
    <n v="90000"/>
    <x v="4"/>
    <x v="1"/>
    <d v="2026-07-30T00:00:00"/>
    <s v="ORD"/>
    <s v="1067"/>
    <n v="4"/>
    <s v="1067"/>
  </r>
  <r>
    <s v="ORD-1087"/>
    <s v="Junaid Chaudhry"/>
    <s v="junaid.chaudhry@yahoo.com"/>
    <s v="0344 7394713"/>
    <s v="03447394713"/>
    <x v="5"/>
    <s v="Handbag"/>
    <x v="4"/>
    <x v="28"/>
    <n v="2"/>
    <n v="45000"/>
    <n v="90000"/>
    <x v="3"/>
    <x v="1"/>
    <d v="2026-07-27T00:00:00"/>
    <s v="ORD"/>
    <s v="1087"/>
    <n v="4"/>
    <s v="1087"/>
  </r>
  <r>
    <s v="ORD-1096"/>
    <s v="Sana Aslam"/>
    <s v=" sana.aslam@gmail.com"/>
    <s v="0397-5525929"/>
    <s v="03975525929"/>
    <x v="7"/>
    <s v="Vacuum Cleaner "/>
    <x v="1"/>
    <x v="21"/>
    <n v="5"/>
    <n v="18000"/>
    <n v="90000"/>
    <x v="0"/>
    <x v="1"/>
    <d v="2026-07-12T00:00:00"/>
    <s v="ORD"/>
    <s v="1096"/>
    <n v="4"/>
    <s v="1096"/>
  </r>
  <r>
    <s v="ORD-1054"/>
    <s v="Asad Rana"/>
    <s v="asad.rana@hotmail.com"/>
    <s v="03088867190"/>
    <s v="03088867190"/>
    <x v="0"/>
    <s v="Microwave Oven"/>
    <x v="1"/>
    <x v="12"/>
    <n v="1"/>
    <n v="85000"/>
    <n v="85000"/>
    <x v="3"/>
    <x v="1"/>
    <d v="2026-07-21T00:00:00"/>
    <s v="ORD"/>
    <s v="1054"/>
    <n v="4"/>
    <s v="1054"/>
  </r>
  <r>
    <s v="ORD-1098"/>
    <s v="Ali Aslam"/>
    <s v="ali.aslam@outlook.com"/>
    <s v="03833283789"/>
    <s v="03833283789"/>
    <x v="4"/>
    <s v="Handbag"/>
    <x v="4"/>
    <x v="29"/>
    <n v="3"/>
    <n v="25000"/>
    <n v="75000"/>
    <x v="1"/>
    <x v="1"/>
    <d v="2026-08-09T00:00:00"/>
    <s v="ORD"/>
    <s v="1098"/>
    <n v="4"/>
    <s v="1098"/>
  </r>
  <r>
    <s v="ORD-1047"/>
    <s v="Rabia Awan"/>
    <s v="rabia.awan@hotmail.com"/>
    <s v="0364-8217547"/>
    <s v="03648217547"/>
    <x v="1"/>
    <s v="Sofa Set"/>
    <x v="3"/>
    <x v="30"/>
    <n v="4"/>
    <n v="18000"/>
    <n v="72000"/>
    <x v="1"/>
    <x v="2"/>
    <d v="2026-07-11T00:00:00"/>
    <s v="ORD"/>
    <s v="1047"/>
    <n v="4"/>
    <s v="1047"/>
  </r>
  <r>
    <s v="ORD-1061"/>
    <s v="Hira Malik"/>
    <s v="hira.malik@outlook.com"/>
    <s v="0363-9993490"/>
    <s v="03639993490"/>
    <x v="4"/>
    <s v="Sunglasses"/>
    <x v="4"/>
    <x v="6"/>
    <n v="1"/>
    <n v="65000"/>
    <n v="65000"/>
    <x v="2"/>
    <x v="1"/>
    <d v="2026-08-19T00:00:00"/>
    <s v="ORD"/>
    <s v="1061"/>
    <n v="4"/>
    <s v="1061"/>
  </r>
  <r>
    <s v="ORD-1082"/>
    <s v="Salman Chaudhry"/>
    <s v="salman.chaudhry@hotmail.com"/>
    <s v="03613570027"/>
    <s v="03613570027"/>
    <x v="6"/>
    <s v="Blender"/>
    <x v="1"/>
    <x v="23"/>
    <n v="1"/>
    <n v="65000"/>
    <n v="65000"/>
    <x v="4"/>
    <x v="2"/>
    <d v="2026-08-19T00:00:00"/>
    <s v="ORD"/>
    <s v="1082"/>
    <n v="4"/>
    <s v="1082"/>
  </r>
  <r>
    <s v="ORD-1028"/>
    <s v="Zeeshan Farooq"/>
    <s v="zeeshan.farooq@yahoo.com"/>
    <s v="0375 9801946"/>
    <s v="03759801946"/>
    <x v="1"/>
    <s v="Jacket"/>
    <x v="2"/>
    <x v="15"/>
    <n v="5"/>
    <n v="12000"/>
    <n v="60000"/>
    <x v="3"/>
    <x v="0"/>
    <d v="2026-07-05T00:00:00"/>
    <s v="ORD"/>
    <s v="1028"/>
    <n v="4"/>
    <s v="1028"/>
  </r>
  <r>
    <s v="ORD-1048"/>
    <s v="Faisal Ali"/>
    <s v=" faisal.ali@gmail.com"/>
    <s v="0316 2006313"/>
    <s v="03162006313"/>
    <x v="6"/>
    <s v="Jacket"/>
    <x v="2"/>
    <x v="5"/>
    <n v="5"/>
    <n v="12000"/>
    <n v="60000"/>
    <x v="2"/>
    <x v="1"/>
    <d v="2026-07-08T00:00:00"/>
    <s v="ORD"/>
    <s v="1048"/>
    <n v="4"/>
    <s v="1048"/>
  </r>
  <r>
    <s v="ORD-1065"/>
    <s v="Hamza Javed"/>
    <s v="hamza.javed@outlook.com"/>
    <s v="03097815076"/>
    <s v="03097815076"/>
    <x v="7"/>
    <s v="Water Dispenser "/>
    <x v="1"/>
    <x v="16"/>
    <n v="3"/>
    <n v="18000"/>
    <n v="54000"/>
    <x v="2"/>
    <x v="2"/>
    <d v="2026-08-26T00:00:00"/>
    <s v="ORD"/>
    <s v="1065"/>
    <n v="4"/>
    <s v="1065"/>
  </r>
  <r>
    <s v="ORD-1039"/>
    <s v="Nida Abbasi"/>
    <s v="nida.abbasi@yahoo.com"/>
    <s v="03851157662"/>
    <s v="03851157662"/>
    <x v="7"/>
    <s v="Jacket"/>
    <x v="2"/>
    <x v="8"/>
    <n v="2"/>
    <n v="25000"/>
    <n v="50000"/>
    <x v="4"/>
    <x v="1"/>
    <d v="2026-08-03T00:00:00"/>
    <s v="ORD"/>
    <s v="1039"/>
    <n v="4"/>
    <s v="1039"/>
  </r>
  <r>
    <s v="ORD-1030"/>
    <s v="Asad Chaudhry"/>
    <s v="asad.chaudhry@outlook.com"/>
    <s v="0394-2664863"/>
    <s v="03942664863"/>
    <x v="0"/>
    <s v="Sofa Set"/>
    <x v="3"/>
    <x v="31"/>
    <n v="4"/>
    <n v="12000"/>
    <n v="48000"/>
    <x v="3"/>
    <x v="0"/>
    <d v="2026-08-20T00:00:00"/>
    <s v="ORD"/>
    <s v="1030"/>
    <n v="4"/>
    <s v="1030"/>
  </r>
  <r>
    <s v="ORD-1093"/>
    <s v="Zainab Ahmed"/>
    <s v="zainab.ahmed@outlook.com"/>
    <s v="0389-3875339"/>
    <s v="03893875339"/>
    <x v="5"/>
    <s v="Air Fryer"/>
    <x v="1"/>
    <x v="31"/>
    <n v="4"/>
    <n v="12000"/>
    <n v="48000"/>
    <x v="3"/>
    <x v="0"/>
    <d v="2026-08-20T00:00:00"/>
    <s v="ORD"/>
    <s v="1093"/>
    <n v="4"/>
    <s v="1093"/>
  </r>
  <r>
    <s v="ORD-1089"/>
    <s v="Ali Raza"/>
    <s v="ali.raza@gmail.com"/>
    <s v="03894431161"/>
    <s v="03894431161"/>
    <x v="6"/>
    <s v="Vacuum Cleaner"/>
    <x v="1"/>
    <x v="26"/>
    <n v="1"/>
    <n v="45000"/>
    <n v="45000"/>
    <x v="2"/>
    <x v="2"/>
    <d v="2026-08-06T00:00:00"/>
    <s v="ORD"/>
    <s v="1089"/>
    <n v="4"/>
    <s v="1089"/>
  </r>
  <r>
    <s v="ORD-1099"/>
    <s v="Naveed Raza"/>
    <s v="naveed.raza@yahoo.com"/>
    <s v="03594517316"/>
    <s v="03594517316"/>
    <x v="1"/>
    <s v="Led Tv"/>
    <x v="0"/>
    <x v="32"/>
    <n v="1"/>
    <n v="45000"/>
    <n v="45000"/>
    <x v="3"/>
    <x v="1"/>
    <d v="2026-08-02T00:00:00"/>
    <s v="ORD"/>
    <s v="1099"/>
    <n v="4"/>
    <s v="1099"/>
  </r>
  <r>
    <s v="ORD-1019"/>
    <s v="Faisal Awan"/>
    <s v="faisal.awan@gmail.com"/>
    <s v="03917442089"/>
    <s v="03917442089"/>
    <x v="7"/>
    <s v="Smart Watch"/>
    <x v="0"/>
    <x v="8"/>
    <n v="5"/>
    <n v="8500"/>
    <n v="42500"/>
    <x v="3"/>
    <x v="0"/>
    <d v="2026-08-01T00:00:00"/>
    <s v="ORD"/>
    <s v="1019"/>
    <n v="4"/>
    <s v="1019"/>
  </r>
  <r>
    <s v="ORD-1042"/>
    <s v="Tariq Aslam"/>
    <s v=" tariq.aslam@hotmail.com"/>
    <s v="03158630043"/>
    <s v="03158630043"/>
    <x v="0"/>
    <s v="Jacket"/>
    <x v="2"/>
    <x v="22"/>
    <n v="5"/>
    <n v="8500"/>
    <n v="42500"/>
    <x v="3"/>
    <x v="1"/>
    <d v="2026-08-09T00:00:00"/>
    <s v="ORD"/>
    <s v="1042"/>
    <n v="4"/>
    <s v="1042"/>
  </r>
  <r>
    <s v="ORD-1051"/>
    <s v="Sadia Malik"/>
    <s v="sadia.malik@outlook.com"/>
    <s v="0376-1919088"/>
    <s v="03761919088"/>
    <x v="4"/>
    <s v="Running Shoes"/>
    <x v="2"/>
    <x v="33"/>
    <n v="5"/>
    <n v="8500"/>
    <n v="42500"/>
    <x v="4"/>
    <x v="0"/>
    <d v="2026-07-14T00:00:00"/>
    <s v="ORD"/>
    <s v="1051"/>
    <n v="4"/>
    <s v="1051"/>
  </r>
  <r>
    <s v="ORD-1088"/>
    <s v="Hassan Aslam"/>
    <s v="rabia.anwar@outlook.com"/>
    <s v="0347 2551288"/>
    <s v="03472551288"/>
    <x v="4"/>
    <s v="Water Dispenser "/>
    <x v="5"/>
    <x v="18"/>
    <n v="5"/>
    <n v="8500"/>
    <n v="42500"/>
    <x v="4"/>
    <x v="2"/>
    <d v="2026-08-14T00:00:00"/>
    <s v="ORD"/>
    <s v="1088"/>
    <n v="4"/>
    <s v="1088"/>
  </r>
  <r>
    <s v="ORD-1055"/>
    <s v="Hamza Baig"/>
    <s v="hamza.baig@yahoo.com"/>
    <s v="0307-8558523"/>
    <s v="03078558523"/>
    <x v="6"/>
    <s v="Office Chair"/>
    <x v="3"/>
    <x v="34"/>
    <n v="2"/>
    <n v="18000"/>
    <n v="36000"/>
    <x v="2"/>
    <x v="1"/>
    <d v="2026-08-09T00:00:00"/>
    <s v="ORD"/>
    <s v="1055"/>
    <n v="4"/>
    <s v="1055"/>
  </r>
  <r>
    <s v="ORD-1008"/>
    <s v="Rida Iqbal"/>
    <s v=" rida.iqbal@gmail.com"/>
    <s v="0304-6543670"/>
    <s v="03046543670"/>
    <x v="0"/>
    <s v="Vacuum Cleaner"/>
    <x v="1"/>
    <x v="13"/>
    <n v="4"/>
    <n v="8500"/>
    <n v="34000"/>
    <x v="3"/>
    <x v="1"/>
    <d v="2026-07-21T00:00:00"/>
    <s v="ORD"/>
    <s v="1008"/>
    <n v="4"/>
    <s v="1008"/>
  </r>
  <r>
    <s v="ORD-1071"/>
    <s v="Faisal Baig"/>
    <s v="faisal.baig@yahoo.com"/>
    <s v="0344-7689354"/>
    <s v="03447689354"/>
    <x v="1"/>
    <s v="Smart Watch"/>
    <x v="0"/>
    <x v="25"/>
    <n v="4"/>
    <n v="8500"/>
    <n v="34000"/>
    <x v="3"/>
    <x v="1"/>
    <d v="2026-07-31T00:00:00"/>
    <s v="ORD"/>
    <s v="1071"/>
    <n v="4"/>
    <s v="1071"/>
  </r>
  <r>
    <s v="ORD-1011"/>
    <s v="Anum Sheikh"/>
    <s v="anum.sheikh@gmail.com"/>
    <s v="0330-7774229"/>
    <s v="03307774229"/>
    <x v="4"/>
    <s v="Water Dispenser"/>
    <x v="1"/>
    <x v="35"/>
    <n v="3"/>
    <n v="8500"/>
    <n v="25500"/>
    <x v="1"/>
    <x v="0"/>
    <d v="2026-07-20T00:00:00"/>
    <s v="ORD"/>
    <s v="1011"/>
    <n v="4"/>
    <s v="1011"/>
  </r>
  <r>
    <s v="ORD-1018"/>
    <s v="Ali Chaudhry"/>
    <s v="ali.chaudhry@outlook.com"/>
    <s v="0356 8418210"/>
    <s v="03568418210"/>
    <x v="2"/>
    <s v="Headphones"/>
    <x v="0"/>
    <x v="20"/>
    <n v="3"/>
    <n v="8500"/>
    <n v="25500"/>
    <x v="1"/>
    <x v="2"/>
    <d v="2026-08-21T00:00:00"/>
    <s v="ORD"/>
    <s v="1018"/>
    <n v="4"/>
    <s v="1018"/>
  </r>
  <r>
    <s v="ORD-1044"/>
    <s v="Komal Raza"/>
    <s v="komal.raza@yahoo.com"/>
    <s v="0369-7017548"/>
    <s v="03697017548"/>
    <x v="4"/>
    <s v="Wrist Watch"/>
    <x v="4"/>
    <x v="36"/>
    <n v="3"/>
    <n v="8500"/>
    <n v="25500"/>
    <x v="3"/>
    <x v="2"/>
    <d v="2026-07-04T00:00:00"/>
    <s v="ORD"/>
    <s v="1044"/>
    <n v="4"/>
    <s v="1044"/>
  </r>
  <r>
    <s v="ORD-1086"/>
    <s v="Bilal Malik"/>
    <s v="Not Provided"/>
    <s v="03941742169"/>
    <s v="03941742169"/>
    <x v="4"/>
    <s v="Running Shoes"/>
    <x v="2"/>
    <x v="37"/>
    <n v="3"/>
    <n v="8500"/>
    <n v="25500"/>
    <x v="1"/>
    <x v="0"/>
    <d v="2026-08-15T00:00:00"/>
    <s v="ORD"/>
    <s v="1086"/>
    <n v="4"/>
    <s v="1086"/>
  </r>
  <r>
    <s v="ORD-1095"/>
    <s v="Sadia Iqbal"/>
    <s v="sadia.iqbal@hotmail.com"/>
    <s v="0399-6475691"/>
    <s v="03996475691"/>
    <x v="2"/>
    <s v="Vacuum Cleaner"/>
    <x v="1"/>
    <x v="21"/>
    <n v="3"/>
    <n v="8500"/>
    <n v="25500"/>
    <x v="3"/>
    <x v="2"/>
    <d v="2026-07-12T00:00:00"/>
    <s v="ORD"/>
    <s v="1095"/>
    <n v="4"/>
    <s v="1095"/>
  </r>
  <r>
    <s v="ORD-1052"/>
    <s v="Bilal Aslam"/>
    <s v="bilal.aslam@gmail.com"/>
    <s v="0340 8202195"/>
    <s v="03408202195"/>
    <x v="5"/>
    <s v="Laptop"/>
    <x v="0"/>
    <x v="31"/>
    <n v="1"/>
    <n v="25000"/>
    <n v="25000"/>
    <x v="3"/>
    <x v="1"/>
    <d v="2026-08-18T00:00:00"/>
    <s v="ORD"/>
    <s v="1052"/>
    <n v="4"/>
    <s v="1052"/>
  </r>
  <r>
    <s v="ORD-1059"/>
    <s v="Umar Butt"/>
    <s v="umar.butt@gmail.com"/>
    <s v="0313-9655523"/>
    <s v="03139655523"/>
    <x v="7"/>
    <s v="Microwave Oven"/>
    <x v="1"/>
    <x v="38"/>
    <n v="1"/>
    <n v="25000"/>
    <n v="25000"/>
    <x v="3"/>
    <x v="2"/>
    <d v="2026-08-02T00:00:00"/>
    <s v="ORD"/>
    <s v="1059"/>
    <n v="4"/>
    <s v="1059"/>
  </r>
  <r>
    <s v="ORD-1045"/>
    <s v="Rida Raza"/>
    <s v="rida.raza@yahoo.com"/>
    <s v="0300-5651899"/>
    <s v="03005651899"/>
    <x v="0"/>
    <s v="Laptop"/>
    <x v="5"/>
    <x v="39"/>
    <n v="2"/>
    <n v="12000"/>
    <n v="24000"/>
    <x v="3"/>
    <x v="1"/>
    <d v="2026-07-23T00:00:00"/>
    <s v="ORD"/>
    <s v="1045"/>
    <n v="4"/>
    <s v="1045"/>
  </r>
  <r>
    <s v="ORD-1063"/>
    <s v="Hassan Ali"/>
    <s v=" hassan.ali@outlook.com"/>
    <s v="03056294819"/>
    <s v="03056294819"/>
    <x v="3"/>
    <s v="Study Table"/>
    <x v="3"/>
    <x v="40"/>
    <n v="1"/>
    <n v="18000"/>
    <n v="18000"/>
    <x v="2"/>
    <x v="0"/>
    <d v="2026-07-26T00:00:00"/>
    <s v="ORD"/>
    <s v="1063"/>
    <n v="4"/>
    <s v="1063"/>
  </r>
  <r>
    <s v="ORD-1014"/>
    <s v="Mahnoor Ali"/>
    <s v="mahnoor.ali@yahoo.com"/>
    <s v="Not Provided"/>
    <s v="NotProvided"/>
    <x v="6"/>
    <s v="Study Table"/>
    <x v="3"/>
    <x v="4"/>
    <n v="2"/>
    <n v="8500"/>
    <n v="17000"/>
    <x v="3"/>
    <x v="0"/>
    <d v="2026-08-02T00:00:00"/>
    <s v="ORD"/>
    <s v="1014"/>
    <n v="4"/>
    <s v="1014"/>
  </r>
  <r>
    <s v="ORD-1023"/>
    <s v="Kashif Aslam"/>
    <s v="kashif.aslam@outlook.com"/>
    <s v="03968072684"/>
    <s v="03968072684"/>
    <x v="2"/>
    <s v="Mobile Phone "/>
    <x v="0"/>
    <x v="15"/>
    <n v="2"/>
    <n v="8500"/>
    <n v="17000"/>
    <x v="3"/>
    <x v="2"/>
    <d v="2026-07-05T00:00:00"/>
    <s v="ORD"/>
    <s v="1023"/>
    <n v="4"/>
    <s v="1023"/>
  </r>
  <r>
    <s v="ORD-1079"/>
    <s v="Fahad Qureshi"/>
    <s v="fahad.qureshi@outlook.com"/>
    <s v="0341 5788474"/>
    <s v="03415788474"/>
    <x v="1"/>
    <s v="Mobile Phone"/>
    <x v="0"/>
    <x v="15"/>
    <n v="4"/>
    <n v="4000"/>
    <n v="16000"/>
    <x v="1"/>
    <x v="2"/>
    <d v="2026-07-08T00:00:00"/>
    <s v="ORD"/>
    <s v="1079"/>
    <n v="4"/>
    <s v="1079"/>
  </r>
  <r>
    <s v="ORD-1013"/>
    <s v="Usman Butt"/>
    <s v="usman.butt@gmail.com"/>
    <s v="0326-6752576"/>
    <s v="03266752576"/>
    <x v="0"/>
    <s v="Mobile Phone"/>
    <x v="0"/>
    <x v="40"/>
    <n v="3"/>
    <n v="4000"/>
    <n v="12000"/>
    <x v="4"/>
    <x v="1"/>
    <d v="2026-07-25T00:00:00"/>
    <s v="ORD"/>
    <s v="1013"/>
    <n v="4"/>
    <s v="1013"/>
  </r>
  <r>
    <s v="ORD-1056"/>
    <s v="Maryam Awan"/>
    <s v=" maryam.awan@hotmail.com"/>
    <s v="0336 5227787"/>
    <s v="03365227787"/>
    <x v="7"/>
    <s v="Led Tv"/>
    <x v="0"/>
    <x v="33"/>
    <n v="1"/>
    <n v="12000"/>
    <n v="12000"/>
    <x v="4"/>
    <x v="0"/>
    <d v="2026-07-15T00:00:00"/>
    <s v="ORD"/>
    <s v="1056"/>
    <n v="4"/>
    <s v="1056"/>
  </r>
  <r>
    <s v="ORD-1073"/>
    <s v="Farah Javed"/>
    <s v="farah.javed@gmail.com"/>
    <s v="0309 7481857"/>
    <s v="03097481857"/>
    <x v="0"/>
    <s v="Smart Watch"/>
    <x v="0"/>
    <x v="40"/>
    <n v="3"/>
    <n v="4000"/>
    <n v="12000"/>
    <x v="1"/>
    <x v="1"/>
    <d v="2026-07-28T00:00:00"/>
    <s v="ORD"/>
    <s v="1073"/>
    <n v="4"/>
    <s v="1073"/>
  </r>
  <r>
    <s v="ORD-1007"/>
    <s v="Bushra Ali"/>
    <s v="bushra.ali@yahoo.com"/>
    <s v="0333 9852897"/>
    <s v="03339852897"/>
    <x v="4"/>
    <s v="Study Table"/>
    <x v="3"/>
    <x v="38"/>
    <n v="4"/>
    <n v="2500"/>
    <n v="10000"/>
    <x v="1"/>
    <x v="3"/>
    <d v="2026-08-04T00:00:00"/>
    <s v="ORD"/>
    <s v="1007"/>
    <n v="4"/>
    <s v="1007"/>
  </r>
  <r>
    <s v="ORD-1020"/>
    <s v="Anum Siddiqui"/>
    <s v="anum.siddiqui@outlook.com"/>
    <s v="0370-8481188"/>
    <s v="03708481188"/>
    <x v="2"/>
    <s v="Sofa Set"/>
    <x v="3"/>
    <x v="13"/>
    <n v="4"/>
    <n v="2500"/>
    <n v="10000"/>
    <x v="1"/>
    <x v="2"/>
    <d v="2026-07-20T00:00:00"/>
    <s v="ORD"/>
    <s v="1020"/>
    <n v="4"/>
    <s v="1020"/>
  </r>
  <r>
    <s v="ORD-1031"/>
    <s v="Noor Ali"/>
    <s v="noor.ali@hotmail.com"/>
    <s v="0325-8132648"/>
    <s v="03258132648"/>
    <x v="7"/>
    <s v="Headphones"/>
    <x v="0"/>
    <x v="29"/>
    <n v="4"/>
    <n v="2500"/>
    <n v="10000"/>
    <x v="4"/>
    <x v="0"/>
    <d v="2026-08-10T00:00:00"/>
    <s v="ORD"/>
    <s v="1031"/>
    <n v="4"/>
    <s v="1031"/>
  </r>
  <r>
    <s v="ORD-1032"/>
    <s v="Rabia Anwar"/>
    <s v=" rabia.anwar@outlook.com"/>
    <s v="0341-5200476"/>
    <s v="03415200476"/>
    <x v="8"/>
    <s v="Office Chair"/>
    <x v="3"/>
    <x v="18"/>
    <n v="4"/>
    <n v="2500"/>
    <n v="10000"/>
    <x v="4"/>
    <x v="2"/>
    <d v="2026-08-12T00:00:00"/>
    <s v="ORD"/>
    <s v="1032"/>
    <n v="4"/>
    <s v="1032"/>
  </r>
  <r>
    <s v="ORD-1046"/>
    <s v="Bilal Abbasi"/>
    <s v="bilal.abbasi@hotmail.com"/>
    <s v="0378 1727544"/>
    <s v="03781727544"/>
    <x v="0"/>
    <s v="Laptop"/>
    <x v="0"/>
    <x v="30"/>
    <n v="4"/>
    <n v="2500"/>
    <n v="10000"/>
    <x v="3"/>
    <x v="2"/>
    <d v="2026-07-12T00:00:00"/>
    <s v="ORD"/>
    <s v="1046"/>
    <n v="4"/>
    <s v="1046"/>
  </r>
  <r>
    <s v="ORD-1100"/>
    <s v="Junaid Siddiqui"/>
    <s v="junaid.siddiqui@hotmail.com"/>
    <s v="0310-2834914"/>
    <s v="03102834914"/>
    <x v="6"/>
    <s v="Mobile Phone"/>
    <x v="0"/>
    <x v="20"/>
    <n v="4"/>
    <n v="2500"/>
    <n v="10000"/>
    <x v="3"/>
    <x v="2"/>
    <d v="2026-08-22T00:00:00"/>
    <s v="ORD"/>
    <s v="1100"/>
    <n v="4"/>
    <s v="1100"/>
  </r>
  <r>
    <s v="ORD-1033"/>
    <s v="Usman Sheikh"/>
    <s v="usman.sheikh@outlook.com"/>
    <s v="03701615675"/>
    <s v="03701615675"/>
    <x v="0"/>
    <s v="Handbag "/>
    <x v="4"/>
    <x v="8"/>
    <n v="1"/>
    <n v="8500"/>
    <n v="8500"/>
    <x v="4"/>
    <x v="0"/>
    <d v="2026-08-04T00:00:00"/>
    <s v="ORD"/>
    <s v="1033"/>
    <n v="4"/>
    <s v="1033"/>
  </r>
  <r>
    <s v="ORD-1038"/>
    <s v="Nida Chaudhry"/>
    <s v="nida.chaudhry@gmail.com"/>
    <s v="0312-8443690"/>
    <s v="03128443690"/>
    <x v="8"/>
    <s v="Mobile Phone"/>
    <x v="0"/>
    <x v="4"/>
    <n v="2"/>
    <n v="4000"/>
    <n v="8000"/>
    <x v="3"/>
    <x v="0"/>
    <d v="2026-08-02T00:00:00"/>
    <s v="ORD"/>
    <s v="1038"/>
    <n v="4"/>
    <s v="1038"/>
  </r>
  <r>
    <s v="ORD-1005"/>
    <s v="Zainab Ahmed"/>
    <s v="zainab.ahmed@yahoo.com"/>
    <s v="03087455324"/>
    <s v="03087455324"/>
    <x v="2"/>
    <s v="Vacuum Cleaner"/>
    <x v="1"/>
    <x v="20"/>
    <n v="3"/>
    <n v="2500"/>
    <n v="7500"/>
    <x v="1"/>
    <x v="3"/>
    <d v="2026-08-22T00:00:00"/>
    <s v="ORD"/>
    <s v="1005"/>
    <n v="4"/>
    <s v="1005"/>
  </r>
  <r>
    <s v="ORD-1010"/>
    <s v="Nida Sheikh"/>
    <s v="nida.sheikh@outlook.com"/>
    <s v="03481036161"/>
    <s v="03481036161"/>
    <x v="2"/>
    <s v="Vacuum Cleaner"/>
    <x v="1"/>
    <x v="5"/>
    <n v="5"/>
    <n v="1500"/>
    <n v="7500"/>
    <x v="2"/>
    <x v="1"/>
    <d v="2026-07-10T00:00:00"/>
    <s v="ORD"/>
    <s v="1010"/>
    <n v="4"/>
    <s v="1010"/>
  </r>
  <r>
    <s v="ORD-1072"/>
    <s v="Zeeshan Sheikh"/>
    <s v="Not Provided"/>
    <s v="03509479950"/>
    <s v="03509479950"/>
    <x v="4"/>
    <s v="Mobile Phone"/>
    <x v="0"/>
    <x v="41"/>
    <n v="5"/>
    <n v="1500"/>
    <n v="7500"/>
    <x v="3"/>
    <x v="2"/>
    <d v="2026-08-04T00:00:00"/>
    <s v="ORD"/>
    <s v="1072"/>
    <n v="4"/>
    <s v="1072"/>
  </r>
  <r>
    <s v="ORD-1041"/>
    <s v="Asad Ahmed"/>
    <s v="asad.ahmed@yahoo.com"/>
    <s v="0322-4368777"/>
    <s v="03224368777"/>
    <x v="6"/>
    <s v="Bookshelf"/>
    <x v="3"/>
    <x v="12"/>
    <n v="3"/>
    <n v="2500"/>
    <n v="7500"/>
    <x v="4"/>
    <x v="2"/>
    <d v="2026-07-26T00:00:00"/>
    <s v="ORD"/>
    <s v="1041"/>
    <n v="4"/>
    <s v="1041"/>
  </r>
  <r>
    <s v="ORD-1072"/>
    <s v="Zeeshan Sheikh"/>
    <s v="Not Provided"/>
    <s v="03509479950"/>
    <s v="03509479950"/>
    <x v="4"/>
    <s v="Mobile Phone"/>
    <x v="0"/>
    <x v="41"/>
    <n v="5"/>
    <n v="1500"/>
    <n v="7500"/>
    <x v="3"/>
    <x v="2"/>
    <d v="2026-08-04T00:00:00"/>
    <s v="ORD"/>
    <s v="1072"/>
    <n v="4"/>
    <s v="1072"/>
  </r>
  <r>
    <s v="ORD-1094"/>
    <s v="Danish Rana"/>
    <s v="danish.rana@yahoo.com"/>
    <s v="0375 3419132"/>
    <s v="03753419132"/>
    <x v="1"/>
    <s v="Sofa Set"/>
    <x v="3"/>
    <x v="40"/>
    <n v="2"/>
    <n v="2500"/>
    <n v="5000"/>
    <x v="4"/>
    <x v="2"/>
    <d v="2026-07-27T00:00:00"/>
    <s v="ORD"/>
    <s v="1094"/>
    <n v="4"/>
    <s v="1094"/>
  </r>
  <r>
    <s v="ORD-1077"/>
    <s v="Hira Iqbal"/>
    <s v="hira.iqbal@hotmail.com"/>
    <s v="03626319061"/>
    <s v="03626319061"/>
    <x v="0"/>
    <s v="Vacuum Cleaner"/>
    <x v="1"/>
    <x v="16"/>
    <n v="3"/>
    <n v="1500"/>
    <n v="4500"/>
    <x v="1"/>
    <x v="2"/>
    <d v="2026-08-22T00:00:00"/>
    <s v="ORD"/>
    <s v="1077"/>
    <n v="4"/>
    <s v="1077"/>
  </r>
  <r>
    <s v="ORD-1053"/>
    <s v="Zainab Aslam"/>
    <s v="zainab.aslam@hotmail.com"/>
    <s v="0381 2913049"/>
    <s v="03812913049"/>
    <x v="6"/>
    <s v="Led Tv"/>
    <x v="0"/>
    <x v="42"/>
    <n v="1"/>
    <n v="4000"/>
    <n v="4000"/>
    <x v="4"/>
    <x v="1"/>
    <d v="2026-07-17T00:00:00"/>
    <s v="ORD"/>
    <s v="1053"/>
    <n v="4"/>
    <s v="1053"/>
  </r>
  <r>
    <s v="ORD-1006"/>
    <s v="Kashif Anwar"/>
    <s v="kashif.anwar@gmail.com"/>
    <s v="0377-4337174"/>
    <s v="03774337174"/>
    <x v="7"/>
    <s v="Microwave Oven"/>
    <x v="1"/>
    <x v="27"/>
    <n v="2"/>
    <n v="1500"/>
    <n v="3000"/>
    <x v="1"/>
    <x v="2"/>
    <d v="2026-07-28T00:00:00"/>
    <s v="ORD"/>
    <s v="1006"/>
    <n v="4"/>
    <s v="1006"/>
  </r>
  <r>
    <s v="ORD-1015"/>
    <s v="Junaid Khan"/>
    <s v="junaid.khan@hotmail.com"/>
    <s v="03945163555"/>
    <s v="03945163555"/>
    <x v="1"/>
    <s v="Blender"/>
    <x v="1"/>
    <x v="3"/>
    <n v="2"/>
    <n v="1500"/>
    <n v="3000"/>
    <x v="1"/>
    <x v="2"/>
    <d v="2026-08-23T00:00:00"/>
    <s v="ORD"/>
    <s v="1015"/>
    <n v="4"/>
    <s v="1015"/>
  </r>
  <r>
    <s v="ORD-1075"/>
    <s v="Mahnoor Qureshi"/>
    <s v="mahnoor.qureshi@gmail.com"/>
    <s v="0399 4817541"/>
    <s v="03994817541"/>
    <x v="2"/>
    <s v="Water Dispenser"/>
    <x v="1"/>
    <x v="31"/>
    <n v="2"/>
    <n v="1500"/>
    <n v="3000"/>
    <x v="4"/>
    <x v="2"/>
    <d v="2026-08-16T00:00:00"/>
    <s v="ORD"/>
    <s v="1075"/>
    <n v="4"/>
    <s v="1075"/>
  </r>
  <r>
    <s v="ORD-1075"/>
    <s v="Mahnoor Qureshi"/>
    <s v="mahnoor.qureshi@gmail.com"/>
    <s v="0399 4817541"/>
    <s v="03994817541"/>
    <x v="2"/>
    <s v="Water Dispenser"/>
    <x v="1"/>
    <x v="31"/>
    <n v="2"/>
    <n v="1500"/>
    <n v="3000"/>
    <x v="4"/>
    <x v="2"/>
    <d v="2026-08-16T00:00:00"/>
    <s v="ORD"/>
    <s v="1075"/>
    <n v="4"/>
    <s v="1075"/>
  </r>
  <r>
    <s v="ORD-1081"/>
    <s v="Farah Qureshi"/>
    <s v="farah.qureshi@gmail.com"/>
    <s v="Not Provided"/>
    <s v="NotProvided"/>
    <x v="5"/>
    <s v="Bookshelf"/>
    <x v="3"/>
    <x v="11"/>
    <n v="2"/>
    <n v="1500"/>
    <n v="3000"/>
    <x v="3"/>
    <x v="2"/>
    <d v="2026-08-15T00:00:00"/>
    <s v="ORD"/>
    <s v="1081"/>
    <n v="4"/>
    <s v="1081"/>
  </r>
  <r>
    <s v="ORD-1022"/>
    <s v="Junaid Siddiqui"/>
    <s v="junaid.siddiqui@yahoo.com"/>
    <s v="0349 6639317"/>
    <s v="03496639317"/>
    <x v="5"/>
    <s v="Wrist Watch"/>
    <x v="4"/>
    <x v="18"/>
    <n v="1"/>
    <n v="2500"/>
    <n v="2500"/>
    <x v="2"/>
    <x v="1"/>
    <d v="2026-08-13T00:00:00"/>
    <s v="ORD"/>
    <s v="1022"/>
    <n v="4"/>
    <s v="1022"/>
  </r>
  <r>
    <s v="ORD-1009"/>
    <s v="Junaid Baig"/>
    <s v="junaid.baig@gmail.com"/>
    <s v="0351-6692553"/>
    <s v="03516692553"/>
    <x v="4"/>
    <s v="Sunglasses"/>
    <x v="4"/>
    <x v="38"/>
    <n v="1"/>
    <n v="1500"/>
    <n v="1500"/>
    <x v="4"/>
    <x v="2"/>
    <d v="2026-08-04T00:00:00"/>
    <s v="ORD"/>
    <s v="1009"/>
    <n v="4"/>
    <s v="1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F846D-EC9A-4B5F-8469-43F543611B2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2:E8" firstHeaderRow="1" firstDataRow="1" firstDataCol="1"/>
  <pivotFields count="21">
    <pivotField showAll="0"/>
    <pivotField showAll="0"/>
    <pivotField showAll="0"/>
    <pivotField showAll="0"/>
    <pivotField showAll="0"/>
    <pivotField showAll="0">
      <items count="11">
        <item x="0"/>
        <item x="7"/>
        <item x="1"/>
        <item x="8"/>
        <item x="6"/>
        <item x="5"/>
        <item x="4"/>
        <item x="2"/>
        <item x="3"/>
        <item m="1" x="9"/>
        <item t="default"/>
      </items>
    </pivotField>
    <pivotField showAll="0"/>
    <pivotField showAll="0">
      <items count="8">
        <item x="4"/>
        <item x="2"/>
        <item x="0"/>
        <item x="3"/>
        <item x="1"/>
        <item x="5"/>
        <item m="1" x="6"/>
        <item t="default"/>
      </items>
    </pivotField>
    <pivotField showAll="0">
      <items count="44">
        <item x="36"/>
        <item x="15"/>
        <item x="5"/>
        <item x="21"/>
        <item x="30"/>
        <item x="24"/>
        <item x="33"/>
        <item x="42"/>
        <item x="2"/>
        <item x="1"/>
        <item x="7"/>
        <item x="13"/>
        <item x="35"/>
        <item x="19"/>
        <item x="12"/>
        <item x="28"/>
        <item x="39"/>
        <item x="40"/>
        <item x="27"/>
        <item x="25"/>
        <item x="4"/>
        <item x="32"/>
        <item x="38"/>
        <item x="8"/>
        <item x="41"/>
        <item x="26"/>
        <item x="10"/>
        <item x="34"/>
        <item x="9"/>
        <item x="22"/>
        <item x="29"/>
        <item x="18"/>
        <item x="37"/>
        <item x="14"/>
        <item x="11"/>
        <item x="6"/>
        <item x="23"/>
        <item x="31"/>
        <item x="0"/>
        <item x="17"/>
        <item x="20"/>
        <item x="16"/>
        <item x="3"/>
        <item t="default"/>
      </items>
    </pivotField>
    <pivotField showAll="0"/>
    <pivotField showAll="0"/>
    <pivotField dataField="1" showAll="0"/>
    <pivotField axis="axisRow" showAll="0">
      <items count="7">
        <item x="2"/>
        <item x="3"/>
        <item x="1"/>
        <item x="4"/>
        <item x="0"/>
        <item m="1" x="5"/>
        <item t="default"/>
      </items>
    </pivotField>
    <pivotField showAll="0">
      <items count="5">
        <item x="2"/>
        <item x="1"/>
        <item x="0"/>
        <item x="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2"/>
  </rowFields>
  <rowItems count="6">
    <i>
      <x/>
    </i>
    <i>
      <x v="1"/>
    </i>
    <i>
      <x v="2"/>
    </i>
    <i>
      <x v="3"/>
    </i>
    <i>
      <x v="4"/>
    </i>
    <i t="grand">
      <x/>
    </i>
  </rowItems>
  <colItems count="1">
    <i/>
  </colItems>
  <dataFields count="1">
    <dataField name="Sum of Total_Sales" fld="11" baseField="0" baseItem="0"/>
  </dataFields>
  <chartFormats count="19">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2"/>
          </reference>
        </references>
      </pivotArea>
    </chartFormat>
    <chartFormat chart="4" format="11">
      <pivotArea type="data" outline="0" fieldPosition="0">
        <references count="2">
          <reference field="4294967294" count="1" selected="0">
            <x v="0"/>
          </reference>
          <reference field="12" count="1" selected="0">
            <x v="3"/>
          </reference>
        </references>
      </pivotArea>
    </chartFormat>
    <chartFormat chart="4" format="12">
      <pivotArea type="data" outline="0" fieldPosition="0">
        <references count="2">
          <reference field="4294967294" count="1" selected="0">
            <x v="0"/>
          </reference>
          <reference field="12" count="1" selected="0">
            <x v="4"/>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2" count="1" selected="0">
            <x v="0"/>
          </reference>
        </references>
      </pivotArea>
    </chartFormat>
    <chartFormat chart="6" format="21">
      <pivotArea type="data" outline="0" fieldPosition="0">
        <references count="2">
          <reference field="4294967294" count="1" selected="0">
            <x v="0"/>
          </reference>
          <reference field="12" count="1" selected="0">
            <x v="1"/>
          </reference>
        </references>
      </pivotArea>
    </chartFormat>
    <chartFormat chart="6" format="22">
      <pivotArea type="data" outline="0" fieldPosition="0">
        <references count="2">
          <reference field="4294967294" count="1" selected="0">
            <x v="0"/>
          </reference>
          <reference field="12" count="1" selected="0">
            <x v="2"/>
          </reference>
        </references>
      </pivotArea>
    </chartFormat>
    <chartFormat chart="6" format="23">
      <pivotArea type="data" outline="0" fieldPosition="0">
        <references count="2">
          <reference field="4294967294" count="1" selected="0">
            <x v="0"/>
          </reference>
          <reference field="12" count="1" selected="0">
            <x v="3"/>
          </reference>
        </references>
      </pivotArea>
    </chartFormat>
    <chartFormat chart="6" format="24">
      <pivotArea type="data" outline="0" fieldPosition="0">
        <references count="2">
          <reference field="4294967294" count="1" selected="0">
            <x v="0"/>
          </reference>
          <reference field="12" count="1" selected="0">
            <x v="4"/>
          </reference>
        </references>
      </pivotArea>
    </chartFormat>
    <chartFormat chart="10" format="31" series="1">
      <pivotArea type="data" outline="0" fieldPosition="0">
        <references count="1">
          <reference field="4294967294" count="1" selected="0">
            <x v="0"/>
          </reference>
        </references>
      </pivotArea>
    </chartFormat>
    <chartFormat chart="10" format="32">
      <pivotArea type="data" outline="0" fieldPosition="0">
        <references count="2">
          <reference field="4294967294" count="1" selected="0">
            <x v="0"/>
          </reference>
          <reference field="12" count="1" selected="0">
            <x v="0"/>
          </reference>
        </references>
      </pivotArea>
    </chartFormat>
    <chartFormat chart="10" format="33">
      <pivotArea type="data" outline="0" fieldPosition="0">
        <references count="2">
          <reference field="4294967294" count="1" selected="0">
            <x v="0"/>
          </reference>
          <reference field="12" count="1" selected="0">
            <x v="1"/>
          </reference>
        </references>
      </pivotArea>
    </chartFormat>
    <chartFormat chart="10" format="34">
      <pivotArea type="data" outline="0" fieldPosition="0">
        <references count="2">
          <reference field="4294967294" count="1" selected="0">
            <x v="0"/>
          </reference>
          <reference field="12" count="1" selected="0">
            <x v="2"/>
          </reference>
        </references>
      </pivotArea>
    </chartFormat>
    <chartFormat chart="10" format="35">
      <pivotArea type="data" outline="0" fieldPosition="0">
        <references count="2">
          <reference field="4294967294" count="1" selected="0">
            <x v="0"/>
          </reference>
          <reference field="12" count="1" selected="0">
            <x v="3"/>
          </reference>
        </references>
      </pivotArea>
    </chartFormat>
    <chartFormat chart="10" format="36">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CDF195-9196-4B7F-8436-3BD610E4BF7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2:B22" firstHeaderRow="1" firstDataRow="1" firstDataCol="1"/>
  <pivotFields count="21">
    <pivotField showAll="0"/>
    <pivotField showAll="0"/>
    <pivotField showAll="0"/>
    <pivotField showAll="0"/>
    <pivotField showAll="0"/>
    <pivotField axis="axisRow" showAll="0" sortType="descending">
      <items count="11">
        <item x="0"/>
        <item x="7"/>
        <item x="1"/>
        <item x="8"/>
        <item x="6"/>
        <item x="5"/>
        <item x="4"/>
        <item x="2"/>
        <item x="3"/>
        <item m="1" x="9"/>
        <item t="default"/>
      </items>
      <autoSortScope>
        <pivotArea dataOnly="0" outline="0" fieldPosition="0">
          <references count="1">
            <reference field="4294967294" count="1" selected="0">
              <x v="0"/>
            </reference>
          </references>
        </pivotArea>
      </autoSortScope>
    </pivotField>
    <pivotField showAll="0"/>
    <pivotField showAll="0">
      <items count="8">
        <item x="4"/>
        <item x="2"/>
        <item x="0"/>
        <item x="3"/>
        <item x="1"/>
        <item x="5"/>
        <item m="1" x="6"/>
        <item t="default"/>
      </items>
    </pivotField>
    <pivotField showAll="0">
      <items count="44">
        <item x="36"/>
        <item x="15"/>
        <item x="5"/>
        <item x="21"/>
        <item x="30"/>
        <item x="24"/>
        <item x="33"/>
        <item x="42"/>
        <item x="2"/>
        <item x="1"/>
        <item x="7"/>
        <item x="13"/>
        <item x="35"/>
        <item x="19"/>
        <item x="12"/>
        <item x="28"/>
        <item x="39"/>
        <item x="40"/>
        <item x="27"/>
        <item x="25"/>
        <item x="4"/>
        <item x="32"/>
        <item x="38"/>
        <item x="8"/>
        <item x="41"/>
        <item x="26"/>
        <item x="10"/>
        <item x="34"/>
        <item x="9"/>
        <item x="22"/>
        <item x="29"/>
        <item x="18"/>
        <item x="37"/>
        <item x="14"/>
        <item x="11"/>
        <item x="6"/>
        <item x="23"/>
        <item x="31"/>
        <item x="0"/>
        <item x="17"/>
        <item x="20"/>
        <item x="16"/>
        <item x="3"/>
        <item t="default"/>
      </items>
    </pivotField>
    <pivotField showAll="0"/>
    <pivotField showAll="0"/>
    <pivotField dataField="1" showAll="0"/>
    <pivotField showAll="0">
      <items count="7">
        <item x="2"/>
        <item x="3"/>
        <item x="1"/>
        <item x="4"/>
        <item x="0"/>
        <item m="1" x="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10">
    <i>
      <x/>
    </i>
    <i>
      <x v="7"/>
    </i>
    <i>
      <x v="6"/>
    </i>
    <i>
      <x v="2"/>
    </i>
    <i>
      <x v="5"/>
    </i>
    <i>
      <x v="1"/>
    </i>
    <i>
      <x v="4"/>
    </i>
    <i>
      <x v="8"/>
    </i>
    <i>
      <x v="3"/>
    </i>
    <i t="grand">
      <x/>
    </i>
  </rowItems>
  <colItems count="1">
    <i/>
  </colItems>
  <dataFields count="1">
    <dataField name="Sum of Total_Sales" fld="11"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701C17-7117-42EF-BC4D-A755F12159D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B9" firstHeaderRow="1" firstDataRow="1" firstDataCol="1"/>
  <pivotFields count="21">
    <pivotField showAll="0"/>
    <pivotField showAll="0"/>
    <pivotField showAll="0"/>
    <pivotField showAll="0"/>
    <pivotField showAll="0"/>
    <pivotField showAll="0">
      <items count="11">
        <item x="0"/>
        <item x="7"/>
        <item x="1"/>
        <item x="8"/>
        <item x="6"/>
        <item x="5"/>
        <item x="4"/>
        <item x="2"/>
        <item x="3"/>
        <item m="1" x="9"/>
        <item t="default"/>
      </items>
    </pivotField>
    <pivotField showAll="0"/>
    <pivotField axis="axisRow" showAll="0" sortType="descending">
      <items count="8">
        <item x="4"/>
        <item x="2"/>
        <item x="0"/>
        <item x="3"/>
        <item x="1"/>
        <item x="5"/>
        <item m="1" x="6"/>
        <item t="default"/>
      </items>
      <autoSortScope>
        <pivotArea dataOnly="0" outline="0" fieldPosition="0">
          <references count="1">
            <reference field="4294967294" count="1" selected="0">
              <x v="0"/>
            </reference>
          </references>
        </pivotArea>
      </autoSortScope>
    </pivotField>
    <pivotField showAll="0">
      <items count="44">
        <item x="36"/>
        <item x="15"/>
        <item x="5"/>
        <item x="21"/>
        <item x="30"/>
        <item x="24"/>
        <item x="33"/>
        <item x="42"/>
        <item x="2"/>
        <item x="1"/>
        <item x="7"/>
        <item x="13"/>
        <item x="35"/>
        <item x="19"/>
        <item x="12"/>
        <item x="28"/>
        <item x="39"/>
        <item x="40"/>
        <item x="27"/>
        <item x="25"/>
        <item x="4"/>
        <item x="32"/>
        <item x="38"/>
        <item x="8"/>
        <item x="41"/>
        <item x="26"/>
        <item x="10"/>
        <item x="34"/>
        <item x="9"/>
        <item x="22"/>
        <item x="29"/>
        <item x="18"/>
        <item x="37"/>
        <item x="14"/>
        <item x="11"/>
        <item x="6"/>
        <item x="23"/>
        <item x="31"/>
        <item x="0"/>
        <item x="17"/>
        <item x="20"/>
        <item x="16"/>
        <item x="3"/>
        <item t="default"/>
      </items>
    </pivotField>
    <pivotField showAll="0"/>
    <pivotField showAll="0"/>
    <pivotField dataField="1" showAll="0"/>
    <pivotField showAll="0">
      <items count="7">
        <item x="2"/>
        <item x="3"/>
        <item x="1"/>
        <item x="4"/>
        <item x="0"/>
        <item m="1" x="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7"/>
  </rowFields>
  <rowItems count="7">
    <i>
      <x v="4"/>
    </i>
    <i>
      <x/>
    </i>
    <i>
      <x v="2"/>
    </i>
    <i>
      <x v="3"/>
    </i>
    <i>
      <x v="1"/>
    </i>
    <i>
      <x v="5"/>
    </i>
    <i t="grand">
      <x/>
    </i>
  </rowItems>
  <colItems count="1">
    <i/>
  </colItems>
  <dataFields count="1">
    <dataField name="Sum of Total_Sales" fld="11"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CA1694-8C3B-47A1-82A0-F2EC22AE0529}"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D12:E16" firstHeaderRow="1" firstDataRow="1" firstDataCol="1"/>
  <pivotFields count="21">
    <pivotField showAll="0"/>
    <pivotField showAll="0"/>
    <pivotField showAll="0"/>
    <pivotField showAll="0"/>
    <pivotField showAll="0"/>
    <pivotField showAll="0">
      <items count="11">
        <item x="0"/>
        <item x="7"/>
        <item x="1"/>
        <item x="8"/>
        <item x="6"/>
        <item x="5"/>
        <item x="4"/>
        <item x="2"/>
        <item x="3"/>
        <item m="1" x="9"/>
        <item t="default"/>
      </items>
    </pivotField>
    <pivotField showAll="0"/>
    <pivotField showAll="0">
      <items count="8">
        <item x="4"/>
        <item x="2"/>
        <item x="0"/>
        <item x="3"/>
        <item x="1"/>
        <item x="5"/>
        <item m="1" x="6"/>
        <item t="default"/>
      </items>
    </pivotField>
    <pivotField numFmtId="169" showAll="0">
      <items count="44">
        <item x="36"/>
        <item x="15"/>
        <item x="5"/>
        <item x="21"/>
        <item x="30"/>
        <item x="24"/>
        <item x="33"/>
        <item x="42"/>
        <item x="2"/>
        <item x="1"/>
        <item x="7"/>
        <item x="13"/>
        <item x="35"/>
        <item x="19"/>
        <item x="12"/>
        <item x="28"/>
        <item x="39"/>
        <item x="40"/>
        <item x="27"/>
        <item x="25"/>
        <item x="4"/>
        <item x="32"/>
        <item x="38"/>
        <item x="8"/>
        <item x="41"/>
        <item x="26"/>
        <item x="10"/>
        <item x="34"/>
        <item x="9"/>
        <item x="22"/>
        <item x="29"/>
        <item x="18"/>
        <item x="37"/>
        <item x="14"/>
        <item x="11"/>
        <item x="6"/>
        <item x="23"/>
        <item x="31"/>
        <item x="0"/>
        <item x="17"/>
        <item x="20"/>
        <item x="16"/>
        <item x="3"/>
        <item t="default"/>
      </items>
    </pivotField>
    <pivotField showAll="0"/>
    <pivotField numFmtId="41" showAll="0"/>
    <pivotField dataField="1" numFmtId="170" showAll="0"/>
    <pivotField showAll="0">
      <items count="7">
        <item x="2"/>
        <item x="3"/>
        <item x="1"/>
        <item x="4"/>
        <item x="0"/>
        <item m="1" x="5"/>
        <item t="default"/>
      </items>
    </pivotField>
    <pivotField showAll="0"/>
    <pivotField numFmtId="168"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20"/>
    <field x="19"/>
  </rowFields>
  <rowItems count="4">
    <i>
      <x v="1"/>
    </i>
    <i r="1">
      <x v="7"/>
    </i>
    <i r="1">
      <x v="8"/>
    </i>
    <i t="grand">
      <x/>
    </i>
  </rowItems>
  <colItems count="1">
    <i/>
  </colItems>
  <dataFields count="1">
    <dataField name="Sum of Total_Sales" fld="11" baseField="0" baseItem="0" numFmtId="170"/>
  </dataFields>
  <chartFormats count="5">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3">
          <reference field="4294967294" count="1" selected="0">
            <x v="0"/>
          </reference>
          <reference field="19" count="1" selected="0">
            <x v="7"/>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7A5E2F-DFEF-4EF5-B958-F62537A56E0C}" sourceName="Category">
  <pivotTables>
    <pivotTable tabId="6" name="PivotTable6"/>
    <pivotTable tabId="6" name="PivotTable10"/>
    <pivotTable tabId="6" name="PivotTable7"/>
    <pivotTable tabId="6" name="PivotTable8"/>
  </pivotTables>
  <data>
    <tabular pivotCacheId="1275533975">
      <items count="7">
        <i x="4" s="1"/>
        <i x="2" s="1"/>
        <i x="0" s="1"/>
        <i x="3" s="1"/>
        <i x="1"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45D5F79-EC57-4E08-9ABB-4C10ACDA3EE5}" sourceName="City">
  <pivotTables>
    <pivotTable tabId="6" name="PivotTable6"/>
    <pivotTable tabId="6" name="PivotTable10"/>
    <pivotTable tabId="6" name="PivotTable7"/>
    <pivotTable tabId="6" name="PivotTable8"/>
  </pivotTables>
  <data>
    <tabular pivotCacheId="1275533975">
      <items count="10">
        <i x="0" s="1"/>
        <i x="7" s="1"/>
        <i x="1" s="1"/>
        <i x="8" s="1"/>
        <i x="6" s="1"/>
        <i x="5" s="1"/>
        <i x="4" s="1"/>
        <i x="2" s="1"/>
        <i x="3" s="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8373AE3-6BA6-4765-98EE-3C7A914D9CA2}" sourceName="Payment_Method">
  <pivotTables>
    <pivotTable tabId="6" name="PivotTable6"/>
    <pivotTable tabId="6" name="PivotTable10"/>
    <pivotTable tabId="6" name="PivotTable7"/>
    <pivotTable tabId="6" name="PivotTable8"/>
  </pivotTables>
  <data>
    <tabular pivotCacheId="1275533975">
      <items count="6">
        <i x="2" s="1"/>
        <i x="3" s="1"/>
        <i x="1" s="1"/>
        <i x="4" s="1"/>
        <i x="0"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55689F51-1D94-48EC-BCDC-D3FBA563F5D2}" sourceName="Customer_Status">
  <pivotTables>
    <pivotTable tabId="6" name="PivotTable8"/>
  </pivotTables>
  <data>
    <tabular pivotCacheId="127553397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8C8F002-4FE1-42DC-9D53-464B1C89A625}" cache="Slicer_Category" caption="Category" rowHeight="241300"/>
  <slicer name="City 1" xr10:uid="{1C744CE9-C08F-459A-B096-66FB7E76A950}" cache="Slicer_City" caption="City" rowHeight="241300"/>
  <slicer name="Payment_Method 1" xr10:uid="{7F7374E3-1556-45CA-AACE-D5204194C3DE}" cache="Slicer_Payment_Method"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1B1D7A8-82C3-4382-AFDD-A287DC9D04AD}" cache="Slicer_Category" caption="Category" columnCount="2" style="SlicerStyleOther2" rowHeight="241300"/>
  <slicer name="City 2" xr10:uid="{F5166A01-2866-4B6F-AC49-14BF4B6D049F}" cache="Slicer_City" caption="City" columnCount="2" style="SlicerStyleLight3" rowHeight="241300"/>
  <slicer name="Payment_Method 2" xr10:uid="{FF7E810D-948F-46B9-8162-48FE41C83608}" cache="Slicer_Payment_Method" caption="Payment_Method" columnCount="2" style="SlicerStyleLight4" rowHeight="241300"/>
  <slicer name="Customer_Status 1" xr10:uid="{C97D5D8E-3D16-40E4-9330-6F06A97BC524}" cache="Slicer_Customer_Status" caption="Customer_Status" columnCount="2"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A70DE5-2038-4257-8DCC-14A4BED56D26}" name="SalesData" displayName="SalesData" ref="A1:S104" headerRowDxfId="30">
  <autoFilter ref="A1:S104" xr:uid="{65A70DE5-2038-4257-8DCC-14A4BED56D26}"/>
  <tableColumns count="19">
    <tableColumn id="1" xr3:uid="{620D5627-1B17-43F5-B88A-FD4F2C950F53}" name="Order_ID" totalsRowLabel="Total" dataDxfId="29" totalsRowDxfId="28"/>
    <tableColumn id="2" xr3:uid="{065406E2-3A14-4501-95D3-E634B5037B84}" name="Customer_Name" dataDxfId="27" totalsRowDxfId="26"/>
    <tableColumn id="3" xr3:uid="{2BFED870-C672-4D8A-8334-11A7DC203BD4}" name="Email" dataDxfId="25" totalsRowDxfId="24"/>
    <tableColumn id="4" xr3:uid="{AC0742B4-9C5C-4533-8D7D-B3FC8C30848D}" name="Phone" dataDxfId="23" totalsRowDxfId="22"/>
    <tableColumn id="5" xr3:uid="{9E774353-53CE-4941-BF31-A2227EFEA08F}" name="Phone_Cleaned" dataDxfId="21" totalsRowDxfId="20">
      <calculatedColumnFormula>SUBSTITUTE(SUBSTITUTE(D2,"-","")," ","")</calculatedColumnFormula>
    </tableColumn>
    <tableColumn id="6" xr3:uid="{D45DE8BE-887D-40D1-A866-B1CB6B5F334F}" name="City" dataDxfId="19" totalsRowDxfId="18"/>
    <tableColumn id="7" xr3:uid="{0E504347-7BEF-45A0-9A61-43F7AD3AB8A4}" name="Product" dataDxfId="17" totalsRowDxfId="16"/>
    <tableColumn id="8" xr3:uid="{3EBDB826-E572-4599-B830-AC899D7B16CA}" name="Category" dataDxfId="15" totalsRowDxfId="14"/>
    <tableColumn id="9" xr3:uid="{BB86F287-2CB9-49FA-AD7B-E728B7FCD8E7}" name="Order_Date" dataDxfId="13" totalsRowDxfId="12"/>
    <tableColumn id="10" xr3:uid="{FA7C750C-A674-4D1B-937C-4AF1A28747A8}" name="Quantity" dataDxfId="11" totalsRowDxfId="10"/>
    <tableColumn id="11" xr3:uid="{3E39B1E5-A4DA-41CB-8566-E7B34CDE2350}" name="Unit_Price" dataDxfId="9" totalsRowDxfId="8"/>
    <tableColumn id="12" xr3:uid="{11130160-F4F5-4EDB-8009-2905EEEEC774}" name="Total_Sales" dataDxfId="7" totalsRowDxfId="6"/>
    <tableColumn id="13" xr3:uid="{073AC091-6608-451C-904F-1D8F7D89D154}" name="Payment_Method" dataDxfId="5" totalsRowDxfId="4"/>
    <tableColumn id="14" xr3:uid="{2554E3D7-E607-440E-9E09-AEC387CD4D94}" name="Customer_Status" dataDxfId="3" totalsRowDxfId="2"/>
    <tableColumn id="15" xr3:uid="{4F101666-3929-445B-A96D-B0B2DEB8E251}" name="Delivery_Date" dataDxfId="1" totalsRowDxfId="0"/>
    <tableColumn id="16" xr3:uid="{2A93DD8E-E6C9-489A-8782-966CC4A0A5BB}" name="Order_Prefix (Left)"/>
    <tableColumn id="17" xr3:uid="{85AB9712-83D7-4C2F-83DF-2FDBA0A361CE}" name="Order_Number (Right)">
      <calculatedColumnFormula>RIGHT(A2,4)</calculatedColumnFormula>
    </tableColumn>
    <tableColumn id="18" xr3:uid="{D9F04662-F9CB-447E-B70C-0F3D17F65AF9}" name="Separator_Position">
      <calculatedColumnFormula>FIND("-",A2)</calculatedColumnFormula>
    </tableColumn>
    <tableColumn id="19" xr3:uid="{F0754005-8952-4EF1-95D0-06522350C324}" name="MID_Number" totalsRowFunction="count">
      <calculatedColumnFormula>MID(A2,FIND("-",A2)+1,4)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28B971C-DFB4-419B-83AD-770576E8BAE4}" sourceName="Order_Date">
  <pivotTables>
    <pivotTable tabId="6" name="PivotTable6"/>
    <pivotTable tabId="6" name="PivotTable10"/>
    <pivotTable tabId="6" name="PivotTable7"/>
    <pivotTable tabId="6" name="PivotTable8"/>
  </pivotTables>
  <state minimalRefreshVersion="6" lastRefreshVersion="6" pivotCacheId="127553397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46853E19-A1B9-40FB-9D30-03F1E6135ABB}" cache="NativeTimeline_Order_Date" caption="Order_Date" level="2" selectionLevel="2" scrollPosition="2026-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44282A22-1E6F-48FF-A5C2-0D5C4CFAA4BC}" cache="NativeTimeline_Order_Date" caption="Order_Date" showSelectionLabel="0" showTimeLevel="0" level="2" selectionLevel="2" scrollPosition="2026-02-02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7"/>
  <sheetViews>
    <sheetView zoomScaleNormal="100" workbookViewId="0">
      <pane ySplit="1" topLeftCell="A2" activePane="bottomLeft" state="frozen"/>
      <selection pane="bottomLeft" activeCell="B6" sqref="B6"/>
    </sheetView>
  </sheetViews>
  <sheetFormatPr defaultColWidth="8.6328125" defaultRowHeight="14.5" x14ac:dyDescent="0.35"/>
  <cols>
    <col min="1" max="1" width="12" customWidth="1"/>
    <col min="2" max="2" width="20" customWidth="1"/>
    <col min="3" max="3" width="26" customWidth="1"/>
    <col min="4" max="4" width="15" customWidth="1"/>
    <col min="5" max="5" width="12" customWidth="1"/>
    <col min="6" max="7" width="16" customWidth="1"/>
    <col min="8" max="8" width="13" customWidth="1"/>
    <col min="9" max="9" width="10" customWidth="1"/>
    <col min="10" max="10" width="12" customWidth="1"/>
    <col min="11" max="11" width="13" customWidth="1"/>
    <col min="12" max="13" width="14" customWidth="1"/>
    <col min="14" max="14" width="13"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s="2" t="s">
        <v>14</v>
      </c>
      <c r="B2" s="2" t="s">
        <v>15</v>
      </c>
      <c r="C2" s="2" t="s">
        <v>16</v>
      </c>
      <c r="D2" s="2" t="s">
        <v>17</v>
      </c>
      <c r="E2" s="2" t="s">
        <v>18</v>
      </c>
      <c r="F2" s="2" t="s">
        <v>19</v>
      </c>
      <c r="G2" s="2"/>
      <c r="H2" s="3">
        <v>46238</v>
      </c>
      <c r="I2" s="2">
        <v>2</v>
      </c>
      <c r="J2" s="4">
        <v>45000</v>
      </c>
      <c r="K2" s="4">
        <f t="shared" ref="K2:K33" si="0">I2*J2</f>
        <v>90000</v>
      </c>
      <c r="L2" s="2" t="s">
        <v>20</v>
      </c>
      <c r="M2" s="2"/>
      <c r="N2" s="3">
        <v>46243</v>
      </c>
    </row>
    <row r="3" spans="1:14" x14ac:dyDescent="0.35">
      <c r="A3" s="2" t="s">
        <v>21</v>
      </c>
      <c r="B3" s="2" t="s">
        <v>22</v>
      </c>
      <c r="C3" s="2" t="s">
        <v>23</v>
      </c>
      <c r="D3" s="2" t="s">
        <v>24</v>
      </c>
      <c r="E3" s="2" t="s">
        <v>25</v>
      </c>
      <c r="F3" s="2" t="s">
        <v>26</v>
      </c>
      <c r="G3" s="2" t="s">
        <v>27</v>
      </c>
      <c r="H3" s="5">
        <v>46244</v>
      </c>
      <c r="I3" s="2">
        <v>3</v>
      </c>
      <c r="J3" s="4">
        <v>85000</v>
      </c>
      <c r="K3" s="4">
        <f t="shared" si="0"/>
        <v>255000</v>
      </c>
      <c r="L3" s="2" t="s">
        <v>28</v>
      </c>
      <c r="M3" s="2" t="s">
        <v>29</v>
      </c>
      <c r="N3" s="5">
        <v>46250</v>
      </c>
    </row>
    <row r="4" spans="1:14" x14ac:dyDescent="0.35">
      <c r="A4" s="2" t="s">
        <v>30</v>
      </c>
      <c r="B4" s="2" t="s">
        <v>31</v>
      </c>
      <c r="C4" s="2" t="s">
        <v>32</v>
      </c>
      <c r="D4" s="2" t="s">
        <v>33</v>
      </c>
      <c r="E4" s="2" t="s">
        <v>34</v>
      </c>
      <c r="F4" s="2" t="s">
        <v>35</v>
      </c>
      <c r="G4" s="2" t="s">
        <v>36</v>
      </c>
      <c r="H4" s="6">
        <v>46233</v>
      </c>
      <c r="I4" s="2">
        <v>3</v>
      </c>
      <c r="J4" s="4">
        <v>120000</v>
      </c>
      <c r="K4" s="4">
        <f t="shared" si="0"/>
        <v>360000</v>
      </c>
      <c r="L4" s="2" t="s">
        <v>37</v>
      </c>
      <c r="M4" s="2" t="s">
        <v>38</v>
      </c>
      <c r="N4" s="6">
        <v>46238</v>
      </c>
    </row>
    <row r="5" spans="1:14" x14ac:dyDescent="0.35">
      <c r="A5" s="2" t="s">
        <v>39</v>
      </c>
      <c r="B5" s="2" t="s">
        <v>40</v>
      </c>
      <c r="C5" s="2" t="s">
        <v>41</v>
      </c>
      <c r="D5" s="2" t="s">
        <v>42</v>
      </c>
      <c r="E5" s="2" t="s">
        <v>43</v>
      </c>
      <c r="F5" s="2" t="s">
        <v>44</v>
      </c>
      <c r="G5" s="2" t="s">
        <v>45</v>
      </c>
      <c r="H5" s="3">
        <v>46241</v>
      </c>
      <c r="I5" s="2">
        <v>5</v>
      </c>
      <c r="J5" s="4">
        <v>25000</v>
      </c>
      <c r="K5" s="4">
        <f t="shared" si="0"/>
        <v>125000</v>
      </c>
      <c r="L5" s="2" t="s">
        <v>46</v>
      </c>
      <c r="M5" s="2" t="s">
        <v>47</v>
      </c>
      <c r="N5" s="3">
        <v>46246</v>
      </c>
    </row>
    <row r="6" spans="1:14" x14ac:dyDescent="0.35">
      <c r="A6" s="2" t="s">
        <v>48</v>
      </c>
      <c r="B6" s="2" t="s">
        <v>49</v>
      </c>
      <c r="C6" s="2" t="s">
        <v>50</v>
      </c>
      <c r="D6" s="2" t="s">
        <v>51</v>
      </c>
      <c r="E6" s="2" t="s">
        <v>52</v>
      </c>
      <c r="F6" s="2" t="s">
        <v>26</v>
      </c>
      <c r="G6" s="2" t="s">
        <v>27</v>
      </c>
      <c r="H6" s="5">
        <v>46252</v>
      </c>
      <c r="I6" s="2">
        <v>3</v>
      </c>
      <c r="J6" s="4">
        <v>2500</v>
      </c>
      <c r="K6" s="4">
        <f t="shared" si="0"/>
        <v>7500</v>
      </c>
      <c r="L6" s="2" t="s">
        <v>53</v>
      </c>
      <c r="M6" s="2"/>
      <c r="N6" s="5">
        <v>46256</v>
      </c>
    </row>
    <row r="7" spans="1:14" x14ac:dyDescent="0.35">
      <c r="A7" s="2" t="s">
        <v>54</v>
      </c>
      <c r="B7" s="2" t="s">
        <v>55</v>
      </c>
      <c r="C7" s="2" t="s">
        <v>56</v>
      </c>
      <c r="D7" s="2" t="s">
        <v>57</v>
      </c>
      <c r="E7" s="2" t="s">
        <v>58</v>
      </c>
      <c r="F7" s="2" t="s">
        <v>19</v>
      </c>
      <c r="G7" s="2" t="s">
        <v>27</v>
      </c>
      <c r="H7" s="6">
        <v>46227</v>
      </c>
      <c r="I7" s="2">
        <v>2</v>
      </c>
      <c r="J7" s="4">
        <v>1500</v>
      </c>
      <c r="K7" s="4">
        <f t="shared" si="0"/>
        <v>3000</v>
      </c>
      <c r="L7" s="2" t="s">
        <v>28</v>
      </c>
      <c r="M7" s="2" t="s">
        <v>29</v>
      </c>
      <c r="N7" s="6">
        <v>46231</v>
      </c>
    </row>
    <row r="8" spans="1:14" x14ac:dyDescent="0.35">
      <c r="A8" s="2" t="s">
        <v>59</v>
      </c>
      <c r="B8" s="2" t="s">
        <v>60</v>
      </c>
      <c r="C8" s="2" t="s">
        <v>61</v>
      </c>
      <c r="D8" s="2" t="s">
        <v>62</v>
      </c>
      <c r="E8" s="2" t="s">
        <v>63</v>
      </c>
      <c r="F8" s="2" t="s">
        <v>64</v>
      </c>
      <c r="G8" s="2" t="s">
        <v>65</v>
      </c>
      <c r="H8" s="3">
        <v>46232</v>
      </c>
      <c r="I8" s="2">
        <v>4</v>
      </c>
      <c r="J8" s="4">
        <v>2500</v>
      </c>
      <c r="K8" s="4">
        <f t="shared" si="0"/>
        <v>10000</v>
      </c>
      <c r="L8" s="2" t="s">
        <v>28</v>
      </c>
      <c r="M8" s="2"/>
      <c r="N8" s="3">
        <v>46238</v>
      </c>
    </row>
    <row r="9" spans="1:14" x14ac:dyDescent="0.35">
      <c r="A9" s="2" t="s">
        <v>66</v>
      </c>
      <c r="B9" s="2" t="s">
        <v>67</v>
      </c>
      <c r="C9" s="2" t="s">
        <v>68</v>
      </c>
      <c r="D9" s="2" t="s">
        <v>69</v>
      </c>
      <c r="E9" s="2" t="s">
        <v>34</v>
      </c>
      <c r="F9" s="2" t="s">
        <v>26</v>
      </c>
      <c r="G9" s="2" t="s">
        <v>27</v>
      </c>
      <c r="H9" s="5">
        <v>46219</v>
      </c>
      <c r="I9" s="2">
        <v>4</v>
      </c>
      <c r="J9" s="4">
        <v>8500</v>
      </c>
      <c r="K9" s="4">
        <f t="shared" si="0"/>
        <v>34000</v>
      </c>
      <c r="L9" s="2" t="s">
        <v>70</v>
      </c>
      <c r="M9" s="2" t="s">
        <v>71</v>
      </c>
      <c r="N9" s="5">
        <v>46224</v>
      </c>
    </row>
    <row r="10" spans="1:14" x14ac:dyDescent="0.35">
      <c r="A10" s="2" t="s">
        <v>72</v>
      </c>
      <c r="B10" s="2" t="s">
        <v>73</v>
      </c>
      <c r="C10" s="2" t="s">
        <v>74</v>
      </c>
      <c r="D10" s="2" t="s">
        <v>75</v>
      </c>
      <c r="E10" s="2" t="s">
        <v>63</v>
      </c>
      <c r="F10" s="2" t="s">
        <v>76</v>
      </c>
      <c r="G10" s="2" t="s">
        <v>77</v>
      </c>
      <c r="H10" s="6">
        <v>46232</v>
      </c>
      <c r="I10" s="2">
        <v>1</v>
      </c>
      <c r="J10" s="4">
        <v>1500</v>
      </c>
      <c r="K10" s="4">
        <f t="shared" si="0"/>
        <v>1500</v>
      </c>
      <c r="L10" s="2" t="s">
        <v>37</v>
      </c>
      <c r="M10" s="2" t="s">
        <v>29</v>
      </c>
      <c r="N10" s="6">
        <v>46238</v>
      </c>
    </row>
    <row r="11" spans="1:14" x14ac:dyDescent="0.35">
      <c r="A11" s="2" t="s">
        <v>78</v>
      </c>
      <c r="B11" s="2" t="s">
        <v>79</v>
      </c>
      <c r="C11" s="2" t="s">
        <v>80</v>
      </c>
      <c r="D11" s="2" t="s">
        <v>81</v>
      </c>
      <c r="E11" s="2" t="s">
        <v>82</v>
      </c>
      <c r="F11" s="2" t="s">
        <v>26</v>
      </c>
      <c r="G11" s="2" t="s">
        <v>83</v>
      </c>
      <c r="H11" s="3">
        <v>46207</v>
      </c>
      <c r="I11" s="2">
        <v>5</v>
      </c>
      <c r="J11" s="4">
        <v>1500</v>
      </c>
      <c r="K11" s="4">
        <f t="shared" si="0"/>
        <v>7500</v>
      </c>
      <c r="L11" s="2" t="s">
        <v>46</v>
      </c>
      <c r="M11" s="2" t="s">
        <v>84</v>
      </c>
      <c r="N11" s="3">
        <v>46213</v>
      </c>
    </row>
    <row r="12" spans="1:14" x14ac:dyDescent="0.35">
      <c r="A12" s="2" t="s">
        <v>85</v>
      </c>
      <c r="B12" s="2" t="s">
        <v>86</v>
      </c>
      <c r="C12" s="2" t="s">
        <v>87</v>
      </c>
      <c r="D12" s="2" t="s">
        <v>88</v>
      </c>
      <c r="E12" s="2" t="s">
        <v>63</v>
      </c>
      <c r="F12" s="2" t="s">
        <v>89</v>
      </c>
      <c r="G12" s="2" t="s">
        <v>27</v>
      </c>
      <c r="H12" s="5">
        <v>46220</v>
      </c>
      <c r="I12" s="2">
        <v>3</v>
      </c>
      <c r="J12" s="4">
        <v>8500</v>
      </c>
      <c r="K12" s="4">
        <f t="shared" si="0"/>
        <v>25500</v>
      </c>
      <c r="L12" s="2" t="s">
        <v>53</v>
      </c>
      <c r="M12" s="2" t="s">
        <v>90</v>
      </c>
      <c r="N12" s="5">
        <v>46223</v>
      </c>
    </row>
    <row r="13" spans="1:14" x14ac:dyDescent="0.35">
      <c r="A13" s="2" t="s">
        <v>91</v>
      </c>
      <c r="B13" s="2" t="s">
        <v>92</v>
      </c>
      <c r="C13" s="2" t="s">
        <v>93</v>
      </c>
      <c r="D13" s="2" t="s">
        <v>94</v>
      </c>
      <c r="E13" s="2" t="s">
        <v>25</v>
      </c>
      <c r="F13" s="2" t="s">
        <v>35</v>
      </c>
      <c r="G13" s="2" t="s">
        <v>95</v>
      </c>
      <c r="H13" s="6">
        <v>46249</v>
      </c>
      <c r="I13" s="2">
        <v>5</v>
      </c>
      <c r="J13" s="4">
        <v>120000</v>
      </c>
      <c r="K13" s="4">
        <f t="shared" si="0"/>
        <v>600000</v>
      </c>
      <c r="L13" s="2"/>
      <c r="M13" s="2" t="s">
        <v>96</v>
      </c>
      <c r="N13" s="6">
        <v>46253</v>
      </c>
    </row>
    <row r="14" spans="1:14" x14ac:dyDescent="0.35">
      <c r="A14" s="2" t="s">
        <v>97</v>
      </c>
      <c r="B14" s="2" t="s">
        <v>98</v>
      </c>
      <c r="C14" s="2" t="s">
        <v>99</v>
      </c>
      <c r="D14" s="2" t="s">
        <v>100</v>
      </c>
      <c r="E14" s="2" t="s">
        <v>34</v>
      </c>
      <c r="F14" s="2" t="s">
        <v>101</v>
      </c>
      <c r="G14" s="2" t="s">
        <v>95</v>
      </c>
      <c r="H14" s="3">
        <v>46225</v>
      </c>
      <c r="I14" s="2">
        <v>3</v>
      </c>
      <c r="J14" s="4">
        <v>4000</v>
      </c>
      <c r="K14" s="4">
        <f t="shared" si="0"/>
        <v>12000</v>
      </c>
      <c r="L14" s="2" t="s">
        <v>102</v>
      </c>
      <c r="M14" s="2" t="s">
        <v>71</v>
      </c>
      <c r="N14" s="3">
        <v>46228</v>
      </c>
    </row>
    <row r="15" spans="1:14" x14ac:dyDescent="0.35">
      <c r="A15" s="2" t="s">
        <v>103</v>
      </c>
      <c r="B15" s="2" t="s">
        <v>104</v>
      </c>
      <c r="C15" s="2" t="s">
        <v>105</v>
      </c>
      <c r="D15" s="2"/>
      <c r="E15" s="2" t="s">
        <v>106</v>
      </c>
      <c r="F15" s="2" t="s">
        <v>64</v>
      </c>
      <c r="G15" s="2" t="s">
        <v>65</v>
      </c>
      <c r="H15" s="5">
        <v>46230</v>
      </c>
      <c r="I15" s="2">
        <v>2</v>
      </c>
      <c r="J15" s="4">
        <v>8500</v>
      </c>
      <c r="K15" s="4">
        <f t="shared" si="0"/>
        <v>17000</v>
      </c>
      <c r="L15" s="2" t="s">
        <v>107</v>
      </c>
      <c r="M15" s="2" t="s">
        <v>96</v>
      </c>
      <c r="N15" s="5">
        <v>46236</v>
      </c>
    </row>
    <row r="16" spans="1:14" x14ac:dyDescent="0.35">
      <c r="A16" s="2" t="s">
        <v>108</v>
      </c>
      <c r="B16" s="2" t="s">
        <v>109</v>
      </c>
      <c r="C16" s="2" t="s">
        <v>110</v>
      </c>
      <c r="D16" s="2" t="s">
        <v>111</v>
      </c>
      <c r="E16" s="2" t="s">
        <v>112</v>
      </c>
      <c r="F16" s="2" t="s">
        <v>113</v>
      </c>
      <c r="G16" s="2" t="s">
        <v>27</v>
      </c>
      <c r="H16" s="6">
        <v>46254</v>
      </c>
      <c r="I16" s="2">
        <v>2</v>
      </c>
      <c r="J16" s="4">
        <v>1500</v>
      </c>
      <c r="K16" s="4">
        <f t="shared" si="0"/>
        <v>3000</v>
      </c>
      <c r="L16" s="2" t="s">
        <v>28</v>
      </c>
      <c r="M16" s="2" t="s">
        <v>38</v>
      </c>
      <c r="N16" s="6">
        <v>46257</v>
      </c>
    </row>
    <row r="17" spans="1:14" x14ac:dyDescent="0.35">
      <c r="A17" s="2" t="s">
        <v>114</v>
      </c>
      <c r="B17" s="2" t="s">
        <v>115</v>
      </c>
      <c r="C17" s="2" t="s">
        <v>116</v>
      </c>
      <c r="D17" s="2" t="s">
        <v>117</v>
      </c>
      <c r="E17" s="2" t="s">
        <v>25</v>
      </c>
      <c r="F17" s="2" t="s">
        <v>76</v>
      </c>
      <c r="G17" s="2" t="s">
        <v>118</v>
      </c>
      <c r="H17" s="3">
        <v>46236</v>
      </c>
      <c r="I17" s="2">
        <v>4</v>
      </c>
      <c r="J17" s="4">
        <v>85000</v>
      </c>
      <c r="K17" s="4">
        <f t="shared" si="0"/>
        <v>340000</v>
      </c>
      <c r="L17" s="2" t="s">
        <v>28</v>
      </c>
      <c r="M17" s="2" t="s">
        <v>90</v>
      </c>
      <c r="N17" s="3">
        <v>46238</v>
      </c>
    </row>
    <row r="18" spans="1:14" x14ac:dyDescent="0.35">
      <c r="A18" s="2" t="s">
        <v>119</v>
      </c>
      <c r="B18" s="2" t="s">
        <v>120</v>
      </c>
      <c r="C18" s="2" t="s">
        <v>121</v>
      </c>
      <c r="D18" s="2" t="s">
        <v>122</v>
      </c>
      <c r="E18" s="2" t="s">
        <v>34</v>
      </c>
      <c r="F18" s="2" t="s">
        <v>76</v>
      </c>
      <c r="G18" s="2" t="s">
        <v>118</v>
      </c>
      <c r="H18" s="5">
        <v>46230</v>
      </c>
      <c r="I18" s="2">
        <v>4</v>
      </c>
      <c r="J18" s="4">
        <v>120000</v>
      </c>
      <c r="K18" s="4">
        <f t="shared" si="0"/>
        <v>480000</v>
      </c>
      <c r="L18" s="2" t="s">
        <v>107</v>
      </c>
      <c r="M18" s="2" t="s">
        <v>38</v>
      </c>
      <c r="N18" s="5">
        <v>46237</v>
      </c>
    </row>
    <row r="19" spans="1:14" x14ac:dyDescent="0.35">
      <c r="A19" s="2" t="s">
        <v>123</v>
      </c>
      <c r="B19" s="2" t="s">
        <v>124</v>
      </c>
      <c r="C19" s="2" t="s">
        <v>125</v>
      </c>
      <c r="D19" s="2" t="s">
        <v>126</v>
      </c>
      <c r="E19" s="2" t="s">
        <v>52</v>
      </c>
      <c r="F19" s="2" t="s">
        <v>35</v>
      </c>
      <c r="G19" s="2" t="s">
        <v>127</v>
      </c>
      <c r="H19" s="6">
        <v>46252</v>
      </c>
      <c r="I19" s="2">
        <v>3</v>
      </c>
      <c r="J19" s="4">
        <v>8500</v>
      </c>
      <c r="K19" s="4">
        <f t="shared" si="0"/>
        <v>25500</v>
      </c>
      <c r="L19" s="2" t="s">
        <v>28</v>
      </c>
      <c r="M19" s="2" t="s">
        <v>29</v>
      </c>
      <c r="N19" s="6">
        <v>46255</v>
      </c>
    </row>
    <row r="20" spans="1:14" x14ac:dyDescent="0.35">
      <c r="A20" s="2" t="s">
        <v>128</v>
      </c>
      <c r="B20" s="2" t="s">
        <v>129</v>
      </c>
      <c r="C20" s="2" t="s">
        <v>130</v>
      </c>
      <c r="D20" s="2" t="s">
        <v>131</v>
      </c>
      <c r="E20" s="2" t="s">
        <v>58</v>
      </c>
      <c r="F20" s="2" t="s">
        <v>132</v>
      </c>
      <c r="G20" s="2" t="s">
        <v>127</v>
      </c>
      <c r="H20" s="3">
        <v>46233</v>
      </c>
      <c r="I20" s="2">
        <v>5</v>
      </c>
      <c r="J20" s="4">
        <v>8500</v>
      </c>
      <c r="K20" s="4">
        <f t="shared" si="0"/>
        <v>42500</v>
      </c>
      <c r="L20" s="2" t="s">
        <v>70</v>
      </c>
      <c r="M20" s="2" t="s">
        <v>96</v>
      </c>
      <c r="N20" s="3">
        <v>46235</v>
      </c>
    </row>
    <row r="21" spans="1:14" x14ac:dyDescent="0.35">
      <c r="A21" s="2" t="s">
        <v>133</v>
      </c>
      <c r="B21" s="2" t="s">
        <v>120</v>
      </c>
      <c r="C21" s="2" t="s">
        <v>134</v>
      </c>
      <c r="D21" s="2" t="s">
        <v>135</v>
      </c>
      <c r="E21" s="2" t="s">
        <v>82</v>
      </c>
      <c r="F21" s="2" t="s">
        <v>136</v>
      </c>
      <c r="G21" s="2" t="s">
        <v>65</v>
      </c>
      <c r="H21" s="5">
        <v>46219</v>
      </c>
      <c r="I21" s="2">
        <v>4</v>
      </c>
      <c r="J21" s="4">
        <v>2500</v>
      </c>
      <c r="K21" s="4">
        <f t="shared" si="0"/>
        <v>10000</v>
      </c>
      <c r="L21" s="2" t="s">
        <v>53</v>
      </c>
      <c r="M21" s="2" t="s">
        <v>38</v>
      </c>
      <c r="N21" s="5">
        <v>46223</v>
      </c>
    </row>
    <row r="22" spans="1:14" x14ac:dyDescent="0.35">
      <c r="A22" s="2" t="s">
        <v>137</v>
      </c>
      <c r="B22" s="2" t="s">
        <v>138</v>
      </c>
      <c r="C22" s="2" t="s">
        <v>139</v>
      </c>
      <c r="D22" s="2" t="s">
        <v>140</v>
      </c>
      <c r="E22" s="2" t="s">
        <v>141</v>
      </c>
      <c r="F22" s="2" t="s">
        <v>76</v>
      </c>
      <c r="G22" s="2" t="s">
        <v>118</v>
      </c>
      <c r="H22" s="6">
        <v>46252</v>
      </c>
      <c r="I22" s="2">
        <v>4</v>
      </c>
      <c r="J22" s="4">
        <v>45000</v>
      </c>
      <c r="K22" s="4">
        <f t="shared" si="0"/>
        <v>180000</v>
      </c>
      <c r="L22" s="2" t="s">
        <v>20</v>
      </c>
      <c r="M22" s="2" t="s">
        <v>38</v>
      </c>
      <c r="N22" s="6">
        <v>46258</v>
      </c>
    </row>
    <row r="23" spans="1:14" x14ac:dyDescent="0.35">
      <c r="A23" s="2" t="s">
        <v>142</v>
      </c>
      <c r="B23" s="2" t="s">
        <v>143</v>
      </c>
      <c r="C23" s="2" t="s">
        <v>144</v>
      </c>
      <c r="D23" s="2" t="s">
        <v>145</v>
      </c>
      <c r="E23" s="2" t="s">
        <v>43</v>
      </c>
      <c r="F23" s="2" t="s">
        <v>146</v>
      </c>
      <c r="G23" s="2" t="s">
        <v>77</v>
      </c>
      <c r="H23" s="3">
        <v>46241</v>
      </c>
      <c r="I23" s="2">
        <v>1</v>
      </c>
      <c r="J23" s="4">
        <v>2500</v>
      </c>
      <c r="K23" s="4">
        <f t="shared" si="0"/>
        <v>2500</v>
      </c>
      <c r="L23" s="2" t="s">
        <v>147</v>
      </c>
      <c r="M23" s="2" t="s">
        <v>71</v>
      </c>
      <c r="N23" s="3">
        <v>46247</v>
      </c>
    </row>
    <row r="24" spans="1:14" x14ac:dyDescent="0.35">
      <c r="A24" s="2" t="s">
        <v>148</v>
      </c>
      <c r="B24" s="2" t="s">
        <v>149</v>
      </c>
      <c r="C24" s="2" t="s">
        <v>150</v>
      </c>
      <c r="D24" s="2" t="s">
        <v>151</v>
      </c>
      <c r="E24" s="2" t="s">
        <v>152</v>
      </c>
      <c r="F24" s="2" t="s">
        <v>153</v>
      </c>
      <c r="G24" s="2" t="s">
        <v>127</v>
      </c>
      <c r="H24" s="5">
        <v>46206</v>
      </c>
      <c r="I24" s="2">
        <v>2</v>
      </c>
      <c r="J24" s="4">
        <v>8500</v>
      </c>
      <c r="K24" s="4">
        <f t="shared" si="0"/>
        <v>17000</v>
      </c>
      <c r="L24" s="2" t="s">
        <v>20</v>
      </c>
      <c r="M24" s="2" t="s">
        <v>47</v>
      </c>
      <c r="N24" s="5">
        <v>46208</v>
      </c>
    </row>
    <row r="25" spans="1:14" x14ac:dyDescent="0.35">
      <c r="A25" s="2" t="s">
        <v>154</v>
      </c>
      <c r="B25" s="2" t="s">
        <v>155</v>
      </c>
      <c r="C25" s="2" t="s">
        <v>156</v>
      </c>
      <c r="D25" s="2" t="s">
        <v>157</v>
      </c>
      <c r="E25" s="2" t="s">
        <v>158</v>
      </c>
      <c r="F25" s="2" t="s">
        <v>159</v>
      </c>
      <c r="G25" s="2" t="s">
        <v>83</v>
      </c>
      <c r="H25" s="6">
        <v>46216</v>
      </c>
      <c r="I25" s="2">
        <v>5</v>
      </c>
      <c r="J25" s="4">
        <v>120000</v>
      </c>
      <c r="K25" s="4">
        <f t="shared" si="0"/>
        <v>600000</v>
      </c>
      <c r="L25" s="2" t="s">
        <v>28</v>
      </c>
      <c r="M25" s="2" t="s">
        <v>96</v>
      </c>
      <c r="N25" s="6">
        <v>46218</v>
      </c>
    </row>
    <row r="26" spans="1:14" x14ac:dyDescent="0.35">
      <c r="A26" s="2" t="s">
        <v>160</v>
      </c>
      <c r="B26" s="2" t="s">
        <v>161</v>
      </c>
      <c r="C26" s="2" t="s">
        <v>162</v>
      </c>
      <c r="D26" s="2" t="s">
        <v>163</v>
      </c>
      <c r="E26" s="2" t="s">
        <v>152</v>
      </c>
      <c r="F26" s="2" t="s">
        <v>164</v>
      </c>
      <c r="G26" s="2" t="s">
        <v>165</v>
      </c>
      <c r="H26" s="3">
        <v>46215</v>
      </c>
      <c r="I26" s="2">
        <v>5</v>
      </c>
      <c r="J26" s="4">
        <v>120000</v>
      </c>
      <c r="K26" s="4">
        <f t="shared" si="0"/>
        <v>600000</v>
      </c>
      <c r="L26" s="2" t="s">
        <v>53</v>
      </c>
      <c r="M26" s="2" t="s">
        <v>84</v>
      </c>
      <c r="N26" s="3">
        <v>46222</v>
      </c>
    </row>
    <row r="27" spans="1:14" x14ac:dyDescent="0.35">
      <c r="A27" s="2" t="s">
        <v>166</v>
      </c>
      <c r="B27" s="2" t="s">
        <v>167</v>
      </c>
      <c r="C27" s="2" t="s">
        <v>168</v>
      </c>
      <c r="D27" s="2" t="s">
        <v>169</v>
      </c>
      <c r="E27" s="2"/>
      <c r="F27" s="2" t="s">
        <v>170</v>
      </c>
      <c r="G27" s="2" t="s">
        <v>171</v>
      </c>
      <c r="H27" s="5">
        <v>46221</v>
      </c>
      <c r="I27" s="2">
        <v>3</v>
      </c>
      <c r="J27" s="4">
        <v>65000</v>
      </c>
      <c r="K27" s="4">
        <f t="shared" si="0"/>
        <v>195000</v>
      </c>
      <c r="L27" s="2" t="s">
        <v>20</v>
      </c>
      <c r="M27" s="2" t="s">
        <v>47</v>
      </c>
      <c r="N27" s="5">
        <v>46227</v>
      </c>
    </row>
    <row r="28" spans="1:14" x14ac:dyDescent="0.35">
      <c r="A28" s="2" t="s">
        <v>172</v>
      </c>
      <c r="B28" s="2" t="s">
        <v>173</v>
      </c>
      <c r="C28" s="2" t="s">
        <v>174</v>
      </c>
      <c r="D28" s="2" t="s">
        <v>175</v>
      </c>
      <c r="E28" s="2" t="s">
        <v>176</v>
      </c>
      <c r="F28" s="2" t="s">
        <v>164</v>
      </c>
      <c r="G28" s="2" t="s">
        <v>177</v>
      </c>
      <c r="H28" s="6">
        <v>46239</v>
      </c>
      <c r="I28" s="2">
        <v>3</v>
      </c>
      <c r="J28" s="4">
        <v>45000</v>
      </c>
      <c r="K28" s="4">
        <f t="shared" si="0"/>
        <v>135000</v>
      </c>
      <c r="L28" s="2" t="s">
        <v>53</v>
      </c>
      <c r="M28" s="2" t="s">
        <v>47</v>
      </c>
      <c r="N28" s="6">
        <v>46243</v>
      </c>
    </row>
    <row r="29" spans="1:14" x14ac:dyDescent="0.35">
      <c r="A29" s="2" t="s">
        <v>178</v>
      </c>
      <c r="B29" s="2" t="s">
        <v>179</v>
      </c>
      <c r="C29" s="2" t="s">
        <v>180</v>
      </c>
      <c r="D29" s="2" t="s">
        <v>181</v>
      </c>
      <c r="E29" s="2" t="s">
        <v>182</v>
      </c>
      <c r="F29" s="2" t="s">
        <v>164</v>
      </c>
      <c r="G29" s="2" t="s">
        <v>171</v>
      </c>
      <c r="H29" s="3">
        <v>46206</v>
      </c>
      <c r="I29" s="2">
        <v>5</v>
      </c>
      <c r="J29" s="4">
        <v>12000</v>
      </c>
      <c r="K29" s="4">
        <f t="shared" si="0"/>
        <v>60000</v>
      </c>
      <c r="L29" s="2" t="s">
        <v>107</v>
      </c>
      <c r="M29" s="2" t="s">
        <v>96</v>
      </c>
      <c r="N29" s="3">
        <v>46208</v>
      </c>
    </row>
    <row r="30" spans="1:14" x14ac:dyDescent="0.35">
      <c r="A30" s="2" t="s">
        <v>183</v>
      </c>
      <c r="B30" s="2" t="s">
        <v>184</v>
      </c>
      <c r="C30" s="2"/>
      <c r="D30" s="2" t="s">
        <v>185</v>
      </c>
      <c r="E30" s="2" t="s">
        <v>63</v>
      </c>
      <c r="F30" s="2" t="s">
        <v>186</v>
      </c>
      <c r="G30" s="2" t="s">
        <v>127</v>
      </c>
      <c r="H30" s="5">
        <v>46234</v>
      </c>
      <c r="I30" s="2">
        <v>5</v>
      </c>
      <c r="J30" s="4">
        <v>1500</v>
      </c>
      <c r="K30" s="4">
        <f t="shared" si="0"/>
        <v>7500</v>
      </c>
      <c r="L30" s="2" t="s">
        <v>70</v>
      </c>
      <c r="M30" s="2" t="s">
        <v>38</v>
      </c>
      <c r="N30" s="5">
        <v>46238</v>
      </c>
    </row>
    <row r="31" spans="1:14" x14ac:dyDescent="0.35">
      <c r="A31" s="2" t="s">
        <v>187</v>
      </c>
      <c r="B31" s="2" t="s">
        <v>188</v>
      </c>
      <c r="C31" s="2" t="s">
        <v>189</v>
      </c>
      <c r="D31" s="2" t="s">
        <v>190</v>
      </c>
      <c r="E31" s="2" t="s">
        <v>158</v>
      </c>
      <c r="F31" s="2" t="s">
        <v>159</v>
      </c>
      <c r="G31" s="2" t="s">
        <v>191</v>
      </c>
      <c r="H31" s="6">
        <v>46230</v>
      </c>
      <c r="I31" s="2">
        <v>5</v>
      </c>
      <c r="J31" s="4">
        <v>85000</v>
      </c>
      <c r="K31" s="4">
        <f t="shared" si="0"/>
        <v>425000</v>
      </c>
      <c r="L31" s="2" t="s">
        <v>28</v>
      </c>
      <c r="M31" s="2" t="s">
        <v>71</v>
      </c>
      <c r="N31" s="6">
        <v>46236</v>
      </c>
    </row>
    <row r="32" spans="1:14" x14ac:dyDescent="0.35">
      <c r="A32" s="2" t="s">
        <v>192</v>
      </c>
      <c r="B32" s="2" t="s">
        <v>193</v>
      </c>
      <c r="C32" s="2" t="s">
        <v>194</v>
      </c>
      <c r="D32" s="2" t="s">
        <v>195</v>
      </c>
      <c r="E32" s="2" t="s">
        <v>34</v>
      </c>
      <c r="F32" s="2" t="s">
        <v>136</v>
      </c>
      <c r="G32" s="2" t="s">
        <v>45</v>
      </c>
      <c r="H32" s="3">
        <v>46248</v>
      </c>
      <c r="I32" s="2">
        <v>4</v>
      </c>
      <c r="J32" s="4">
        <v>12000</v>
      </c>
      <c r="K32" s="4">
        <f t="shared" si="0"/>
        <v>48000</v>
      </c>
      <c r="L32" s="2" t="s">
        <v>20</v>
      </c>
      <c r="M32" s="2" t="s">
        <v>90</v>
      </c>
      <c r="N32" s="3">
        <v>46254</v>
      </c>
    </row>
    <row r="33" spans="1:14" x14ac:dyDescent="0.35">
      <c r="A33" s="2" t="s">
        <v>196</v>
      </c>
      <c r="B33" s="2" t="s">
        <v>197</v>
      </c>
      <c r="C33" s="2" t="s">
        <v>198</v>
      </c>
      <c r="D33" s="2" t="s">
        <v>199</v>
      </c>
      <c r="E33" s="2" t="s">
        <v>200</v>
      </c>
      <c r="F33" s="2" t="s">
        <v>35</v>
      </c>
      <c r="G33" s="2" t="s">
        <v>95</v>
      </c>
      <c r="H33" s="5">
        <v>46240</v>
      </c>
      <c r="I33" s="2">
        <v>4</v>
      </c>
      <c r="J33" s="4">
        <v>2500</v>
      </c>
      <c r="K33" s="4">
        <f t="shared" si="0"/>
        <v>10000</v>
      </c>
      <c r="L33" s="2" t="s">
        <v>102</v>
      </c>
      <c r="M33" s="2" t="s">
        <v>90</v>
      </c>
      <c r="N33" s="5">
        <v>46244</v>
      </c>
    </row>
    <row r="34" spans="1:14" x14ac:dyDescent="0.35">
      <c r="A34" s="2" t="s">
        <v>201</v>
      </c>
      <c r="B34" s="2" t="s">
        <v>202</v>
      </c>
      <c r="C34" s="2" t="s">
        <v>203</v>
      </c>
      <c r="D34" s="2" t="s">
        <v>204</v>
      </c>
      <c r="E34" s="2" t="s">
        <v>205</v>
      </c>
      <c r="F34" s="2" t="s">
        <v>206</v>
      </c>
      <c r="G34" s="2" t="s">
        <v>207</v>
      </c>
      <c r="H34" s="6">
        <v>46241</v>
      </c>
      <c r="I34" s="2">
        <v>4</v>
      </c>
      <c r="J34" s="4">
        <v>2500</v>
      </c>
      <c r="K34" s="4">
        <f t="shared" ref="K34:K65" si="1">I34*J34</f>
        <v>10000</v>
      </c>
      <c r="L34" s="2" t="s">
        <v>102</v>
      </c>
      <c r="M34" s="2" t="s">
        <v>38</v>
      </c>
      <c r="N34" s="6">
        <v>46246</v>
      </c>
    </row>
    <row r="35" spans="1:14" x14ac:dyDescent="0.35">
      <c r="A35" s="2" t="s">
        <v>208</v>
      </c>
      <c r="B35" s="2" t="s">
        <v>209</v>
      </c>
      <c r="C35" s="2" t="s">
        <v>210</v>
      </c>
      <c r="D35" s="2" t="s">
        <v>211</v>
      </c>
      <c r="E35" s="2" t="s">
        <v>212</v>
      </c>
      <c r="F35" s="2" t="s">
        <v>213</v>
      </c>
      <c r="G35" s="2" t="s">
        <v>214</v>
      </c>
      <c r="H35" s="3">
        <v>46233</v>
      </c>
      <c r="I35" s="2">
        <v>1</v>
      </c>
      <c r="J35" s="4">
        <v>8500</v>
      </c>
      <c r="K35" s="4">
        <f t="shared" si="1"/>
        <v>8500</v>
      </c>
      <c r="L35" s="2" t="s">
        <v>37</v>
      </c>
      <c r="M35" s="2" t="s">
        <v>96</v>
      </c>
      <c r="N35" s="3">
        <v>46238</v>
      </c>
    </row>
    <row r="36" spans="1:14" x14ac:dyDescent="0.35">
      <c r="A36" s="2" t="s">
        <v>215</v>
      </c>
      <c r="B36" s="2" t="s">
        <v>216</v>
      </c>
      <c r="C36" s="2" t="s">
        <v>217</v>
      </c>
      <c r="D36" s="2" t="s">
        <v>218</v>
      </c>
      <c r="E36" s="2" t="s">
        <v>63</v>
      </c>
      <c r="F36" s="2" t="s">
        <v>26</v>
      </c>
      <c r="G36" s="2" t="s">
        <v>27</v>
      </c>
      <c r="H36" s="5">
        <v>46211</v>
      </c>
      <c r="I36" s="2">
        <v>1</v>
      </c>
      <c r="J36" s="4">
        <v>120000</v>
      </c>
      <c r="K36" s="4">
        <f t="shared" si="1"/>
        <v>120000</v>
      </c>
      <c r="L36" s="2" t="s">
        <v>107</v>
      </c>
      <c r="M36" s="2" t="s">
        <v>90</v>
      </c>
      <c r="N36" s="5">
        <v>46216</v>
      </c>
    </row>
    <row r="37" spans="1:14" x14ac:dyDescent="0.35">
      <c r="A37" s="2" t="s">
        <v>219</v>
      </c>
      <c r="B37" s="2" t="s">
        <v>220</v>
      </c>
      <c r="C37" s="2" t="s">
        <v>221</v>
      </c>
      <c r="D37" s="2" t="s">
        <v>222</v>
      </c>
      <c r="E37" s="2" t="s">
        <v>223</v>
      </c>
      <c r="F37" s="2" t="s">
        <v>76</v>
      </c>
      <c r="G37" s="2" t="s">
        <v>118</v>
      </c>
      <c r="H37" s="6">
        <v>46222</v>
      </c>
      <c r="I37" s="2">
        <v>3</v>
      </c>
      <c r="J37" s="4">
        <v>85000</v>
      </c>
      <c r="K37" s="4">
        <f t="shared" si="1"/>
        <v>255000</v>
      </c>
      <c r="L37" s="2" t="s">
        <v>20</v>
      </c>
      <c r="M37" s="2" t="s">
        <v>71</v>
      </c>
      <c r="N37" s="6">
        <v>46229</v>
      </c>
    </row>
    <row r="38" spans="1:14" x14ac:dyDescent="0.35">
      <c r="A38" s="2" t="s">
        <v>224</v>
      </c>
      <c r="B38" s="2" t="s">
        <v>225</v>
      </c>
      <c r="C38" s="2" t="s">
        <v>226</v>
      </c>
      <c r="D38" s="2" t="s">
        <v>227</v>
      </c>
      <c r="E38" s="2" t="s">
        <v>141</v>
      </c>
      <c r="F38" s="2" t="s">
        <v>76</v>
      </c>
      <c r="G38" s="2" t="s">
        <v>77</v>
      </c>
      <c r="H38" s="3">
        <v>46228</v>
      </c>
      <c r="I38" s="2">
        <v>2</v>
      </c>
      <c r="J38" s="4">
        <v>45000</v>
      </c>
      <c r="K38" s="4">
        <f t="shared" si="1"/>
        <v>90000</v>
      </c>
      <c r="L38" s="2" t="s">
        <v>20</v>
      </c>
      <c r="M38" s="2" t="s">
        <v>84</v>
      </c>
      <c r="N38" s="3">
        <v>46233</v>
      </c>
    </row>
    <row r="39" spans="1:14" x14ac:dyDescent="0.35">
      <c r="A39" s="2" t="s">
        <v>228</v>
      </c>
      <c r="B39" s="2" t="s">
        <v>229</v>
      </c>
      <c r="C39" s="2" t="s">
        <v>230</v>
      </c>
      <c r="D39" s="2" t="s">
        <v>231</v>
      </c>
      <c r="E39" s="2" t="s">
        <v>212</v>
      </c>
      <c r="F39" s="2" t="s">
        <v>232</v>
      </c>
      <c r="G39" s="2" t="s">
        <v>214</v>
      </c>
      <c r="H39" s="5">
        <v>46238</v>
      </c>
      <c r="I39" s="2">
        <v>3</v>
      </c>
      <c r="J39" s="4">
        <v>120000</v>
      </c>
      <c r="K39" s="4">
        <f t="shared" si="1"/>
        <v>360000</v>
      </c>
      <c r="L39" s="2" t="s">
        <v>102</v>
      </c>
      <c r="M39" s="2" t="s">
        <v>29</v>
      </c>
      <c r="N39" s="5">
        <v>46243</v>
      </c>
    </row>
    <row r="40" spans="1:14" x14ac:dyDescent="0.35">
      <c r="A40" s="2" t="s">
        <v>233</v>
      </c>
      <c r="B40" s="2" t="s">
        <v>234</v>
      </c>
      <c r="C40" s="2" t="s">
        <v>235</v>
      </c>
      <c r="D40" s="2" t="s">
        <v>236</v>
      </c>
      <c r="E40" s="2" t="s">
        <v>18</v>
      </c>
      <c r="F40" s="2" t="s">
        <v>186</v>
      </c>
      <c r="G40" s="2" t="s">
        <v>127</v>
      </c>
      <c r="H40" s="6">
        <v>46230</v>
      </c>
      <c r="I40" s="2">
        <v>2</v>
      </c>
      <c r="J40" s="4">
        <v>4000</v>
      </c>
      <c r="K40" s="4">
        <f t="shared" si="1"/>
        <v>8000</v>
      </c>
      <c r="L40" s="2" t="s">
        <v>107</v>
      </c>
      <c r="M40" s="2" t="s">
        <v>96</v>
      </c>
      <c r="N40" s="6">
        <v>46236</v>
      </c>
    </row>
    <row r="41" spans="1:14" x14ac:dyDescent="0.35">
      <c r="A41" s="2" t="s">
        <v>237</v>
      </c>
      <c r="B41" s="2" t="s">
        <v>238</v>
      </c>
      <c r="C41" s="2" t="s">
        <v>239</v>
      </c>
      <c r="D41" s="2" t="s">
        <v>240</v>
      </c>
      <c r="E41" s="2" t="s">
        <v>241</v>
      </c>
      <c r="F41" s="2" t="s">
        <v>164</v>
      </c>
      <c r="G41" s="2" t="s">
        <v>165</v>
      </c>
      <c r="H41" s="3">
        <v>46233</v>
      </c>
      <c r="I41" s="2">
        <v>2</v>
      </c>
      <c r="J41" s="4">
        <v>25000</v>
      </c>
      <c r="K41" s="4">
        <f t="shared" si="1"/>
        <v>50000</v>
      </c>
      <c r="L41" s="2" t="s">
        <v>102</v>
      </c>
      <c r="M41" s="2" t="s">
        <v>71</v>
      </c>
      <c r="N41" s="3">
        <v>46237</v>
      </c>
    </row>
    <row r="42" spans="1:14" x14ac:dyDescent="0.35">
      <c r="A42" s="2" t="s">
        <v>242</v>
      </c>
      <c r="B42" s="2" t="s">
        <v>243</v>
      </c>
      <c r="C42" s="2" t="s">
        <v>244</v>
      </c>
      <c r="D42" s="2" t="s">
        <v>245</v>
      </c>
      <c r="E42" s="2" t="s">
        <v>25</v>
      </c>
      <c r="F42" s="2" t="s">
        <v>164</v>
      </c>
      <c r="G42" s="2" t="s">
        <v>171</v>
      </c>
      <c r="H42" s="5">
        <v>46250</v>
      </c>
      <c r="I42" s="2">
        <v>2</v>
      </c>
      <c r="J42" s="4">
        <v>120000</v>
      </c>
      <c r="K42" s="4">
        <f t="shared" si="1"/>
        <v>240000</v>
      </c>
      <c r="L42" s="2" t="s">
        <v>70</v>
      </c>
      <c r="M42" s="2"/>
      <c r="N42" s="5">
        <v>46257</v>
      </c>
    </row>
    <row r="43" spans="1:14" x14ac:dyDescent="0.35">
      <c r="A43" s="2" t="s">
        <v>246</v>
      </c>
      <c r="B43" s="2" t="s">
        <v>247</v>
      </c>
      <c r="C43" s="2" t="s">
        <v>248</v>
      </c>
      <c r="D43" s="2" t="s">
        <v>249</v>
      </c>
      <c r="E43" s="2" t="s">
        <v>250</v>
      </c>
      <c r="F43" s="2" t="s">
        <v>44</v>
      </c>
      <c r="G43" s="2" t="s">
        <v>45</v>
      </c>
      <c r="H43" s="6">
        <v>46222</v>
      </c>
      <c r="I43" s="2">
        <v>3</v>
      </c>
      <c r="J43" s="4">
        <v>2500</v>
      </c>
      <c r="K43" s="4">
        <f t="shared" si="1"/>
        <v>7500</v>
      </c>
      <c r="L43" s="2" t="s">
        <v>102</v>
      </c>
      <c r="M43" s="2" t="s">
        <v>47</v>
      </c>
      <c r="N43" s="6">
        <v>46229</v>
      </c>
    </row>
    <row r="44" spans="1:14" x14ac:dyDescent="0.35">
      <c r="A44" s="2" t="s">
        <v>251</v>
      </c>
      <c r="B44" s="2" t="s">
        <v>252</v>
      </c>
      <c r="C44" s="2" t="s">
        <v>253</v>
      </c>
      <c r="D44" s="2" t="s">
        <v>254</v>
      </c>
      <c r="E44" s="2" t="s">
        <v>34</v>
      </c>
      <c r="F44" s="2" t="s">
        <v>164</v>
      </c>
      <c r="G44" s="2" t="s">
        <v>171</v>
      </c>
      <c r="H44" s="3">
        <v>46239</v>
      </c>
      <c r="I44" s="2">
        <v>5</v>
      </c>
      <c r="J44" s="4">
        <v>8500</v>
      </c>
      <c r="K44" s="4">
        <f t="shared" si="1"/>
        <v>42500</v>
      </c>
      <c r="L44" s="2" t="s">
        <v>70</v>
      </c>
      <c r="M44" s="2" t="s">
        <v>71</v>
      </c>
      <c r="N44" s="3">
        <v>46243</v>
      </c>
    </row>
    <row r="45" spans="1:14" x14ac:dyDescent="0.35">
      <c r="A45" s="2" t="s">
        <v>255</v>
      </c>
      <c r="B45" s="2" t="s">
        <v>256</v>
      </c>
      <c r="C45" s="2" t="s">
        <v>257</v>
      </c>
      <c r="D45" s="2" t="s">
        <v>258</v>
      </c>
      <c r="E45" s="2" t="s">
        <v>82</v>
      </c>
      <c r="F45" s="2" t="s">
        <v>26</v>
      </c>
      <c r="G45" s="2" t="s">
        <v>191</v>
      </c>
      <c r="H45" s="5">
        <v>46245</v>
      </c>
      <c r="I45" s="2">
        <v>4</v>
      </c>
      <c r="J45" s="4">
        <v>85000</v>
      </c>
      <c r="K45" s="4">
        <f t="shared" si="1"/>
        <v>340000</v>
      </c>
      <c r="L45" s="2" t="s">
        <v>147</v>
      </c>
      <c r="M45" s="2"/>
      <c r="N45" s="5">
        <v>46247</v>
      </c>
    </row>
    <row r="46" spans="1:14" x14ac:dyDescent="0.35">
      <c r="A46" s="2" t="s">
        <v>259</v>
      </c>
      <c r="B46" s="2" t="s">
        <v>260</v>
      </c>
      <c r="C46" s="2" t="s">
        <v>261</v>
      </c>
      <c r="D46" s="2" t="s">
        <v>262</v>
      </c>
      <c r="E46" s="2" t="s">
        <v>263</v>
      </c>
      <c r="F46" s="2" t="s">
        <v>146</v>
      </c>
      <c r="G46" s="2" t="s">
        <v>77</v>
      </c>
      <c r="H46" s="6">
        <v>46205</v>
      </c>
      <c r="I46" s="2">
        <v>3</v>
      </c>
      <c r="J46" s="4">
        <v>8500</v>
      </c>
      <c r="K46" s="4">
        <f t="shared" si="1"/>
        <v>25500</v>
      </c>
      <c r="L46" s="2" t="s">
        <v>107</v>
      </c>
      <c r="M46" s="2" t="s">
        <v>47</v>
      </c>
      <c r="N46" s="6">
        <v>46207</v>
      </c>
    </row>
    <row r="47" spans="1:14" x14ac:dyDescent="0.35">
      <c r="A47" s="2" t="s">
        <v>264</v>
      </c>
      <c r="B47" s="2" t="s">
        <v>265</v>
      </c>
      <c r="C47" s="2" t="s">
        <v>266</v>
      </c>
      <c r="D47" s="2" t="s">
        <v>267</v>
      </c>
      <c r="E47" s="2" t="s">
        <v>25</v>
      </c>
      <c r="F47" s="2" t="s">
        <v>268</v>
      </c>
      <c r="G47" s="2"/>
      <c r="H47" s="3">
        <v>46224</v>
      </c>
      <c r="I47" s="2">
        <v>2</v>
      </c>
      <c r="J47" s="4">
        <v>12000</v>
      </c>
      <c r="K47" s="4">
        <f t="shared" si="1"/>
        <v>24000</v>
      </c>
      <c r="L47" s="2" t="s">
        <v>20</v>
      </c>
      <c r="M47" s="2" t="s">
        <v>71</v>
      </c>
      <c r="N47" s="3">
        <v>46226</v>
      </c>
    </row>
    <row r="48" spans="1:14" x14ac:dyDescent="0.35">
      <c r="A48" s="2" t="s">
        <v>269</v>
      </c>
      <c r="B48" s="2" t="s">
        <v>270</v>
      </c>
      <c r="C48" s="2" t="s">
        <v>271</v>
      </c>
      <c r="D48" s="2" t="s">
        <v>272</v>
      </c>
      <c r="E48" s="2" t="s">
        <v>212</v>
      </c>
      <c r="F48" s="2" t="s">
        <v>268</v>
      </c>
      <c r="G48" s="2" t="s">
        <v>95</v>
      </c>
      <c r="H48" s="5">
        <v>46210</v>
      </c>
      <c r="I48" s="2">
        <v>4</v>
      </c>
      <c r="J48" s="4">
        <v>2500</v>
      </c>
      <c r="K48" s="4">
        <f t="shared" si="1"/>
        <v>10000</v>
      </c>
      <c r="L48" s="2" t="s">
        <v>70</v>
      </c>
      <c r="M48" s="2" t="s">
        <v>47</v>
      </c>
      <c r="N48" s="5">
        <v>46215</v>
      </c>
    </row>
    <row r="49" spans="1:14" x14ac:dyDescent="0.35">
      <c r="A49" s="2" t="s">
        <v>273</v>
      </c>
      <c r="B49" s="2" t="s">
        <v>274</v>
      </c>
      <c r="C49" s="2" t="s">
        <v>275</v>
      </c>
      <c r="D49" s="2" t="s">
        <v>276</v>
      </c>
      <c r="E49" s="2" t="s">
        <v>277</v>
      </c>
      <c r="F49" s="2" t="s">
        <v>26</v>
      </c>
      <c r="G49" s="2" t="s">
        <v>83</v>
      </c>
      <c r="H49" s="6">
        <v>46235</v>
      </c>
      <c r="I49" s="2">
        <v>1</v>
      </c>
      <c r="J49" s="4">
        <v>45000</v>
      </c>
      <c r="K49" s="4">
        <f t="shared" si="1"/>
        <v>45000</v>
      </c>
      <c r="L49" s="2" t="s">
        <v>46</v>
      </c>
      <c r="M49" s="2" t="s">
        <v>38</v>
      </c>
      <c r="N49" s="6">
        <v>46240</v>
      </c>
    </row>
    <row r="50" spans="1:14" x14ac:dyDescent="0.35">
      <c r="A50" s="2" t="s">
        <v>278</v>
      </c>
      <c r="B50" s="2" t="s">
        <v>279</v>
      </c>
      <c r="C50" s="2" t="s">
        <v>280</v>
      </c>
      <c r="D50" s="2" t="s">
        <v>281</v>
      </c>
      <c r="E50" s="2" t="s">
        <v>182</v>
      </c>
      <c r="F50" s="2" t="s">
        <v>136</v>
      </c>
      <c r="G50" s="2" t="s">
        <v>207</v>
      </c>
      <c r="H50" s="3">
        <v>46210</v>
      </c>
      <c r="I50" s="2">
        <v>4</v>
      </c>
      <c r="J50" s="4">
        <v>18000</v>
      </c>
      <c r="K50" s="4">
        <f t="shared" si="1"/>
        <v>72000</v>
      </c>
      <c r="L50" s="2" t="s">
        <v>53</v>
      </c>
      <c r="M50" s="2" t="s">
        <v>47</v>
      </c>
      <c r="N50" s="3">
        <v>46214</v>
      </c>
    </row>
    <row r="51" spans="1:14" x14ac:dyDescent="0.35">
      <c r="A51" s="2" t="s">
        <v>282</v>
      </c>
      <c r="B51" s="2" t="s">
        <v>283</v>
      </c>
      <c r="C51" s="2" t="s">
        <v>284</v>
      </c>
      <c r="D51" s="2" t="s">
        <v>285</v>
      </c>
      <c r="E51" s="2" t="s">
        <v>250</v>
      </c>
      <c r="F51" s="2" t="s">
        <v>164</v>
      </c>
      <c r="G51" s="2" t="s">
        <v>165</v>
      </c>
      <c r="H51" s="5">
        <v>46207</v>
      </c>
      <c r="I51" s="2">
        <v>5</v>
      </c>
      <c r="J51" s="4">
        <v>12000</v>
      </c>
      <c r="K51" s="4">
        <f t="shared" si="1"/>
        <v>60000</v>
      </c>
      <c r="L51" s="2" t="s">
        <v>46</v>
      </c>
      <c r="M51" s="2" t="s">
        <v>84</v>
      </c>
      <c r="N51" s="5">
        <v>46211</v>
      </c>
    </row>
    <row r="52" spans="1:14" x14ac:dyDescent="0.35">
      <c r="A52" s="2" t="s">
        <v>286</v>
      </c>
      <c r="B52" s="2" t="s">
        <v>287</v>
      </c>
      <c r="C52" s="2" t="s">
        <v>288</v>
      </c>
      <c r="D52" s="2" t="s">
        <v>289</v>
      </c>
      <c r="E52" s="2"/>
      <c r="F52" s="2" t="s">
        <v>44</v>
      </c>
      <c r="G52" s="2" t="s">
        <v>65</v>
      </c>
      <c r="H52" s="6">
        <v>46215</v>
      </c>
      <c r="I52" s="2">
        <v>5</v>
      </c>
      <c r="J52" s="4">
        <v>120000</v>
      </c>
      <c r="K52" s="4">
        <f t="shared" si="1"/>
        <v>600000</v>
      </c>
      <c r="L52" s="2" t="s">
        <v>147</v>
      </c>
      <c r="M52" s="2" t="s">
        <v>90</v>
      </c>
      <c r="N52" s="6">
        <v>46218</v>
      </c>
    </row>
    <row r="53" spans="1:14" x14ac:dyDescent="0.35">
      <c r="A53" s="2" t="s">
        <v>290</v>
      </c>
      <c r="B53" s="2" t="s">
        <v>291</v>
      </c>
      <c r="C53" s="2" t="s">
        <v>292</v>
      </c>
      <c r="D53" s="2" t="s">
        <v>293</v>
      </c>
      <c r="E53" s="2" t="s">
        <v>294</v>
      </c>
      <c r="F53" s="2" t="s">
        <v>89</v>
      </c>
      <c r="G53" s="2" t="s">
        <v>27</v>
      </c>
      <c r="H53" s="3">
        <v>46235</v>
      </c>
      <c r="I53" s="2">
        <v>4</v>
      </c>
      <c r="J53" s="4">
        <v>25000</v>
      </c>
      <c r="K53" s="4">
        <f t="shared" si="1"/>
        <v>100000</v>
      </c>
      <c r="L53" s="2" t="s">
        <v>53</v>
      </c>
      <c r="M53" s="2" t="s">
        <v>84</v>
      </c>
      <c r="N53" s="3">
        <v>46241</v>
      </c>
    </row>
    <row r="54" spans="1:14" x14ac:dyDescent="0.35">
      <c r="A54" s="2" t="s">
        <v>295</v>
      </c>
      <c r="B54" s="2" t="s">
        <v>296</v>
      </c>
      <c r="C54" s="2" t="s">
        <v>297</v>
      </c>
      <c r="D54" s="2" t="s">
        <v>298</v>
      </c>
      <c r="E54" s="2" t="s">
        <v>263</v>
      </c>
      <c r="F54" s="2" t="s">
        <v>299</v>
      </c>
      <c r="G54" s="2" t="s">
        <v>177</v>
      </c>
      <c r="H54" s="5">
        <v>46212</v>
      </c>
      <c r="I54" s="2">
        <v>5</v>
      </c>
      <c r="J54" s="4">
        <v>8500</v>
      </c>
      <c r="K54" s="4">
        <f t="shared" si="1"/>
        <v>42500</v>
      </c>
      <c r="L54" s="2" t="s">
        <v>37</v>
      </c>
      <c r="M54" s="2" t="s">
        <v>90</v>
      </c>
      <c r="N54" s="5">
        <v>46217</v>
      </c>
    </row>
    <row r="55" spans="1:14" x14ac:dyDescent="0.35">
      <c r="A55" s="2" t="s">
        <v>300</v>
      </c>
      <c r="B55" s="2" t="s">
        <v>301</v>
      </c>
      <c r="C55" s="2" t="s">
        <v>302</v>
      </c>
      <c r="D55" s="2" t="s">
        <v>303</v>
      </c>
      <c r="E55" s="2" t="s">
        <v>304</v>
      </c>
      <c r="F55" s="2" t="s">
        <v>268</v>
      </c>
      <c r="G55" s="2" t="s">
        <v>127</v>
      </c>
      <c r="H55" s="6">
        <v>46248</v>
      </c>
      <c r="I55" s="2">
        <v>1</v>
      </c>
      <c r="J55" s="4">
        <v>25000</v>
      </c>
      <c r="K55" s="4">
        <f t="shared" si="1"/>
        <v>25000</v>
      </c>
      <c r="L55" s="2" t="s">
        <v>70</v>
      </c>
      <c r="M55" s="2" t="s">
        <v>84</v>
      </c>
      <c r="N55" s="6">
        <v>46252</v>
      </c>
    </row>
    <row r="56" spans="1:14" x14ac:dyDescent="0.35">
      <c r="A56" s="2" t="s">
        <v>305</v>
      </c>
      <c r="B56" s="2" t="s">
        <v>306</v>
      </c>
      <c r="C56" s="2" t="s">
        <v>307</v>
      </c>
      <c r="D56" s="2" t="s">
        <v>308</v>
      </c>
      <c r="E56" s="2" t="s">
        <v>277</v>
      </c>
      <c r="F56" s="2" t="s">
        <v>309</v>
      </c>
      <c r="G56" s="2" t="s">
        <v>95</v>
      </c>
      <c r="H56" s="3">
        <v>46213</v>
      </c>
      <c r="I56" s="2">
        <v>1</v>
      </c>
      <c r="J56" s="4">
        <v>4000</v>
      </c>
      <c r="K56" s="4">
        <f t="shared" si="1"/>
        <v>4000</v>
      </c>
      <c r="L56" s="2" t="s">
        <v>102</v>
      </c>
      <c r="M56" s="2" t="s">
        <v>84</v>
      </c>
      <c r="N56" s="3">
        <v>46220</v>
      </c>
    </row>
    <row r="57" spans="1:14" x14ac:dyDescent="0.35">
      <c r="A57" s="2" t="s">
        <v>310</v>
      </c>
      <c r="B57" s="2" t="s">
        <v>311</v>
      </c>
      <c r="C57" s="2" t="s">
        <v>312</v>
      </c>
      <c r="D57" s="2" t="s">
        <v>313</v>
      </c>
      <c r="E57" s="2" t="s">
        <v>34</v>
      </c>
      <c r="F57" s="2" t="s">
        <v>314</v>
      </c>
      <c r="G57" s="2" t="s">
        <v>27</v>
      </c>
      <c r="H57" s="5">
        <v>46222</v>
      </c>
      <c r="I57" s="2">
        <v>1</v>
      </c>
      <c r="J57" s="4">
        <v>85000</v>
      </c>
      <c r="K57" s="4">
        <f t="shared" si="1"/>
        <v>85000</v>
      </c>
      <c r="L57" s="2" t="s">
        <v>20</v>
      </c>
      <c r="M57" s="2" t="s">
        <v>71</v>
      </c>
      <c r="N57" s="5">
        <v>46224</v>
      </c>
    </row>
    <row r="58" spans="1:14" x14ac:dyDescent="0.35">
      <c r="A58" s="2" t="s">
        <v>315</v>
      </c>
      <c r="B58" s="2" t="s">
        <v>316</v>
      </c>
      <c r="C58" s="2" t="s">
        <v>317</v>
      </c>
      <c r="D58" s="2" t="s">
        <v>318</v>
      </c>
      <c r="E58" s="2" t="s">
        <v>250</v>
      </c>
      <c r="F58" s="2" t="s">
        <v>206</v>
      </c>
      <c r="G58" s="2" t="s">
        <v>45</v>
      </c>
      <c r="H58" s="6">
        <v>46237</v>
      </c>
      <c r="I58" s="2">
        <v>2</v>
      </c>
      <c r="J58" s="4">
        <v>18000</v>
      </c>
      <c r="K58" s="4">
        <f t="shared" si="1"/>
        <v>36000</v>
      </c>
      <c r="L58" s="2" t="s">
        <v>46</v>
      </c>
      <c r="M58" s="2" t="s">
        <v>71</v>
      </c>
      <c r="N58" s="6">
        <v>46243</v>
      </c>
    </row>
    <row r="59" spans="1:14" x14ac:dyDescent="0.35">
      <c r="A59" s="2" t="s">
        <v>319</v>
      </c>
      <c r="B59" s="2" t="s">
        <v>320</v>
      </c>
      <c r="C59" s="2" t="s">
        <v>321</v>
      </c>
      <c r="D59" s="2" t="s">
        <v>322</v>
      </c>
      <c r="E59" s="2" t="s">
        <v>200</v>
      </c>
      <c r="F59" s="2" t="s">
        <v>309</v>
      </c>
      <c r="G59" s="2" t="s">
        <v>127</v>
      </c>
      <c r="H59" s="3">
        <v>46212</v>
      </c>
      <c r="I59" s="2">
        <v>1</v>
      </c>
      <c r="J59" s="4">
        <v>12000</v>
      </c>
      <c r="K59" s="4">
        <f t="shared" si="1"/>
        <v>12000</v>
      </c>
      <c r="L59" s="2" t="s">
        <v>37</v>
      </c>
      <c r="M59" s="2" t="s">
        <v>96</v>
      </c>
      <c r="N59" s="3">
        <v>46218</v>
      </c>
    </row>
    <row r="60" spans="1:14" x14ac:dyDescent="0.35">
      <c r="A60" s="2" t="s">
        <v>323</v>
      </c>
      <c r="B60" s="2" t="s">
        <v>324</v>
      </c>
      <c r="C60" s="2" t="s">
        <v>325</v>
      </c>
      <c r="D60" s="2" t="s">
        <v>326</v>
      </c>
      <c r="E60" s="2" t="s">
        <v>152</v>
      </c>
      <c r="F60" s="2" t="s">
        <v>327</v>
      </c>
      <c r="G60" s="2" t="s">
        <v>191</v>
      </c>
      <c r="H60" s="5">
        <v>46248</v>
      </c>
      <c r="I60" s="2">
        <v>2</v>
      </c>
      <c r="J60" s="4">
        <v>1500</v>
      </c>
      <c r="K60" s="4">
        <f t="shared" si="1"/>
        <v>3000</v>
      </c>
      <c r="L60" s="2" t="s">
        <v>102</v>
      </c>
      <c r="M60" s="2" t="s">
        <v>47</v>
      </c>
      <c r="N60" s="5">
        <v>46250</v>
      </c>
    </row>
    <row r="61" spans="1:14" x14ac:dyDescent="0.35">
      <c r="A61" s="2" t="s">
        <v>328</v>
      </c>
      <c r="B61" s="2" t="s">
        <v>329</v>
      </c>
      <c r="C61" s="2" t="s">
        <v>330</v>
      </c>
      <c r="D61" s="2" t="s">
        <v>331</v>
      </c>
      <c r="E61" s="2" t="s">
        <v>241</v>
      </c>
      <c r="F61" s="2" t="s">
        <v>132</v>
      </c>
      <c r="G61" s="2" t="s">
        <v>36</v>
      </c>
      <c r="H61" s="6">
        <v>46206</v>
      </c>
      <c r="I61" s="2">
        <v>3</v>
      </c>
      <c r="J61" s="4">
        <v>85000</v>
      </c>
      <c r="K61" s="4">
        <f t="shared" si="1"/>
        <v>255000</v>
      </c>
      <c r="L61" s="2" t="s">
        <v>107</v>
      </c>
      <c r="M61" s="2" t="s">
        <v>47</v>
      </c>
      <c r="N61" s="6">
        <v>46213</v>
      </c>
    </row>
    <row r="62" spans="1:14" x14ac:dyDescent="0.35">
      <c r="A62" s="2" t="s">
        <v>332</v>
      </c>
      <c r="B62" s="2" t="s">
        <v>333</v>
      </c>
      <c r="C62" s="2" t="s">
        <v>334</v>
      </c>
      <c r="D62" s="2" t="s">
        <v>335</v>
      </c>
      <c r="E62" s="2" t="s">
        <v>63</v>
      </c>
      <c r="F62" s="2" t="s">
        <v>113</v>
      </c>
      <c r="G62" s="2" t="s">
        <v>27</v>
      </c>
      <c r="H62" s="3">
        <v>46233</v>
      </c>
      <c r="I62" s="2">
        <v>4</v>
      </c>
      <c r="J62" s="4">
        <v>65000</v>
      </c>
      <c r="K62" s="4">
        <f t="shared" si="1"/>
        <v>260000</v>
      </c>
      <c r="L62" s="2" t="s">
        <v>37</v>
      </c>
      <c r="M62" s="2" t="s">
        <v>47</v>
      </c>
      <c r="N62" s="3">
        <v>46237</v>
      </c>
    </row>
    <row r="63" spans="1:14" x14ac:dyDescent="0.35">
      <c r="A63" s="2" t="s">
        <v>336</v>
      </c>
      <c r="B63" s="2" t="s">
        <v>337</v>
      </c>
      <c r="C63" s="2" t="s">
        <v>338</v>
      </c>
      <c r="D63" s="2" t="s">
        <v>339</v>
      </c>
      <c r="E63" s="2" t="s">
        <v>200</v>
      </c>
      <c r="F63" s="2" t="s">
        <v>19</v>
      </c>
      <c r="G63" s="2" t="s">
        <v>27</v>
      </c>
      <c r="H63" s="5">
        <v>46232</v>
      </c>
      <c r="I63" s="2">
        <v>1</v>
      </c>
      <c r="J63" s="4">
        <v>25000</v>
      </c>
      <c r="K63" s="4">
        <f t="shared" si="1"/>
        <v>25000</v>
      </c>
      <c r="L63" s="2" t="s">
        <v>20</v>
      </c>
      <c r="M63" s="2" t="s">
        <v>38</v>
      </c>
      <c r="N63" s="5">
        <v>46236</v>
      </c>
    </row>
    <row r="64" spans="1:14" x14ac:dyDescent="0.35">
      <c r="A64" s="2" t="s">
        <v>340</v>
      </c>
      <c r="B64" s="2" t="s">
        <v>341</v>
      </c>
      <c r="C64" s="2" t="s">
        <v>342</v>
      </c>
      <c r="D64" s="2" t="s">
        <v>343</v>
      </c>
      <c r="E64" s="2" t="s">
        <v>52</v>
      </c>
      <c r="F64" s="2" t="s">
        <v>344</v>
      </c>
      <c r="G64" s="2" t="s">
        <v>191</v>
      </c>
      <c r="H64" s="6">
        <v>46217</v>
      </c>
      <c r="I64" s="2">
        <v>5</v>
      </c>
      <c r="J64" s="4">
        <v>85000</v>
      </c>
      <c r="K64" s="4">
        <f t="shared" si="1"/>
        <v>425000</v>
      </c>
      <c r="L64" s="2" t="s">
        <v>37</v>
      </c>
      <c r="M64" s="2" t="s">
        <v>96</v>
      </c>
      <c r="N64" s="6">
        <v>46220</v>
      </c>
    </row>
    <row r="65" spans="1:14" x14ac:dyDescent="0.35">
      <c r="A65" s="2" t="s">
        <v>345</v>
      </c>
      <c r="B65" s="2" t="s">
        <v>346</v>
      </c>
      <c r="C65" s="2" t="s">
        <v>347</v>
      </c>
      <c r="D65" s="2" t="s">
        <v>348</v>
      </c>
      <c r="E65" s="2" t="s">
        <v>63</v>
      </c>
      <c r="F65" s="2" t="s">
        <v>76</v>
      </c>
      <c r="G65" s="2" t="s">
        <v>77</v>
      </c>
      <c r="H65" s="3">
        <v>46246</v>
      </c>
      <c r="I65" s="2">
        <v>1</v>
      </c>
      <c r="J65" s="4">
        <v>65000</v>
      </c>
      <c r="K65" s="4">
        <f t="shared" si="1"/>
        <v>65000</v>
      </c>
      <c r="L65" s="2" t="s">
        <v>46</v>
      </c>
      <c r="M65" s="2" t="s">
        <v>84</v>
      </c>
      <c r="N65" s="3">
        <v>46253</v>
      </c>
    </row>
    <row r="66" spans="1:14" x14ac:dyDescent="0.35">
      <c r="A66" s="2" t="s">
        <v>349</v>
      </c>
      <c r="B66" s="2" t="s">
        <v>350</v>
      </c>
      <c r="C66" s="2" t="s">
        <v>351</v>
      </c>
      <c r="D66" s="2" t="s">
        <v>352</v>
      </c>
      <c r="E66" s="2" t="s">
        <v>106</v>
      </c>
      <c r="F66" s="2" t="s">
        <v>353</v>
      </c>
      <c r="G66" s="2" t="s">
        <v>36</v>
      </c>
      <c r="H66" s="5">
        <v>46238</v>
      </c>
      <c r="I66" s="2">
        <v>2</v>
      </c>
      <c r="J66" s="4">
        <v>120000</v>
      </c>
      <c r="K66" s="4">
        <f t="shared" ref="K66:K97" si="2">I66*J66</f>
        <v>240000</v>
      </c>
      <c r="L66" s="2" t="s">
        <v>102</v>
      </c>
      <c r="M66" s="2" t="s">
        <v>71</v>
      </c>
      <c r="N66" s="5">
        <v>46242</v>
      </c>
    </row>
    <row r="67" spans="1:14" x14ac:dyDescent="0.35">
      <c r="A67" s="2" t="s">
        <v>354</v>
      </c>
      <c r="B67" s="2" t="s">
        <v>355</v>
      </c>
      <c r="C67" s="2" t="s">
        <v>356</v>
      </c>
      <c r="D67" s="2" t="s">
        <v>357</v>
      </c>
      <c r="E67" s="2"/>
      <c r="F67" s="2" t="s">
        <v>64</v>
      </c>
      <c r="G67" s="2" t="s">
        <v>207</v>
      </c>
      <c r="H67" s="6">
        <v>46225</v>
      </c>
      <c r="I67" s="2">
        <v>1</v>
      </c>
      <c r="J67" s="4">
        <v>18000</v>
      </c>
      <c r="K67" s="4">
        <f t="shared" si="2"/>
        <v>18000</v>
      </c>
      <c r="L67" s="2" t="s">
        <v>147</v>
      </c>
      <c r="M67" s="2" t="s">
        <v>90</v>
      </c>
      <c r="N67" s="6">
        <v>46229</v>
      </c>
    </row>
    <row r="68" spans="1:14" x14ac:dyDescent="0.35">
      <c r="A68" s="2" t="s">
        <v>358</v>
      </c>
      <c r="B68" s="2" t="s">
        <v>359</v>
      </c>
      <c r="C68" s="2" t="s">
        <v>360</v>
      </c>
      <c r="D68" s="2" t="s">
        <v>361</v>
      </c>
      <c r="E68" s="2" t="s">
        <v>43</v>
      </c>
      <c r="F68" s="2" t="s">
        <v>206</v>
      </c>
      <c r="G68" s="2" t="s">
        <v>65</v>
      </c>
      <c r="H68" s="3">
        <v>46222</v>
      </c>
      <c r="I68" s="2">
        <v>4</v>
      </c>
      <c r="J68" s="4">
        <v>85000</v>
      </c>
      <c r="K68" s="4">
        <f t="shared" si="2"/>
        <v>340000</v>
      </c>
      <c r="L68" s="2" t="s">
        <v>147</v>
      </c>
      <c r="M68" s="2" t="s">
        <v>71</v>
      </c>
      <c r="N68" s="3">
        <v>46226</v>
      </c>
    </row>
    <row r="69" spans="1:14" x14ac:dyDescent="0.35">
      <c r="A69" s="2" t="s">
        <v>362</v>
      </c>
      <c r="B69" s="2" t="s">
        <v>363</v>
      </c>
      <c r="C69" s="2" t="s">
        <v>364</v>
      </c>
      <c r="D69" s="2" t="s">
        <v>365</v>
      </c>
      <c r="E69" s="2" t="s">
        <v>241</v>
      </c>
      <c r="F69" s="2" t="s">
        <v>366</v>
      </c>
      <c r="G69" s="2" t="s">
        <v>83</v>
      </c>
      <c r="H69" s="5">
        <v>46253</v>
      </c>
      <c r="I69" s="2">
        <v>3</v>
      </c>
      <c r="J69" s="4">
        <v>18000</v>
      </c>
      <c r="K69" s="4">
        <f t="shared" si="2"/>
        <v>54000</v>
      </c>
      <c r="L69" s="2" t="s">
        <v>147</v>
      </c>
      <c r="M69" s="2" t="s">
        <v>29</v>
      </c>
      <c r="N69" s="5">
        <v>46260</v>
      </c>
    </row>
    <row r="70" spans="1:14" x14ac:dyDescent="0.35">
      <c r="A70" s="2" t="s">
        <v>367</v>
      </c>
      <c r="B70" s="2" t="s">
        <v>368</v>
      </c>
      <c r="C70" s="2" t="s">
        <v>369</v>
      </c>
      <c r="D70" s="2" t="s">
        <v>370</v>
      </c>
      <c r="E70" s="2" t="s">
        <v>294</v>
      </c>
      <c r="F70" s="2" t="s">
        <v>232</v>
      </c>
      <c r="G70" s="2" t="s">
        <v>214</v>
      </c>
      <c r="H70" s="6">
        <v>46217</v>
      </c>
      <c r="I70" s="2">
        <v>3</v>
      </c>
      <c r="J70" s="4">
        <v>45000</v>
      </c>
      <c r="K70" s="4">
        <f t="shared" si="2"/>
        <v>135000</v>
      </c>
      <c r="L70" s="2" t="s">
        <v>28</v>
      </c>
      <c r="M70" s="2" t="s">
        <v>96</v>
      </c>
      <c r="N70" s="6">
        <v>46223</v>
      </c>
    </row>
    <row r="71" spans="1:14" x14ac:dyDescent="0.35">
      <c r="A71" s="2" t="s">
        <v>371</v>
      </c>
      <c r="B71" s="2" t="s">
        <v>372</v>
      </c>
      <c r="C71" s="2" t="s">
        <v>373</v>
      </c>
      <c r="D71" s="2" t="s">
        <v>374</v>
      </c>
      <c r="E71" s="2" t="s">
        <v>200</v>
      </c>
      <c r="F71" s="2" t="s">
        <v>132</v>
      </c>
      <c r="G71" s="2" t="s">
        <v>95</v>
      </c>
      <c r="H71" s="3">
        <v>46227</v>
      </c>
      <c r="I71" s="2">
        <v>5</v>
      </c>
      <c r="J71" s="4">
        <v>18000</v>
      </c>
      <c r="K71" s="4">
        <f t="shared" si="2"/>
        <v>90000</v>
      </c>
      <c r="L71" s="2" t="s">
        <v>102</v>
      </c>
      <c r="M71" s="2" t="s">
        <v>84</v>
      </c>
      <c r="N71" s="3">
        <v>46233</v>
      </c>
    </row>
    <row r="72" spans="1:14" x14ac:dyDescent="0.35">
      <c r="A72" s="2" t="s">
        <v>375</v>
      </c>
      <c r="B72" s="2" t="s">
        <v>376</v>
      </c>
      <c r="C72" s="2" t="s">
        <v>377</v>
      </c>
      <c r="D72" s="2" t="s">
        <v>378</v>
      </c>
      <c r="E72" s="2" t="s">
        <v>82</v>
      </c>
      <c r="F72" s="2" t="s">
        <v>164</v>
      </c>
      <c r="G72" s="2" t="s">
        <v>171</v>
      </c>
      <c r="H72" s="5">
        <v>46215</v>
      </c>
      <c r="I72" s="2">
        <v>4</v>
      </c>
      <c r="J72" s="4">
        <v>65000</v>
      </c>
      <c r="K72" s="4">
        <f t="shared" si="2"/>
        <v>260000</v>
      </c>
      <c r="L72" s="2" t="s">
        <v>20</v>
      </c>
      <c r="M72" s="2" t="s">
        <v>84</v>
      </c>
      <c r="N72" s="5">
        <v>46218</v>
      </c>
    </row>
    <row r="73" spans="1:14" x14ac:dyDescent="0.35">
      <c r="A73" s="2" t="s">
        <v>379</v>
      </c>
      <c r="B73" s="2" t="s">
        <v>380</v>
      </c>
      <c r="C73" s="2" t="s">
        <v>381</v>
      </c>
      <c r="D73" s="2" t="s">
        <v>382</v>
      </c>
      <c r="E73" s="2" t="s">
        <v>25</v>
      </c>
      <c r="F73" s="2" t="s">
        <v>89</v>
      </c>
      <c r="G73" s="2" t="s">
        <v>83</v>
      </c>
      <c r="H73" s="6">
        <v>46241</v>
      </c>
      <c r="I73" s="2">
        <v>2</v>
      </c>
      <c r="J73" s="4">
        <v>120000</v>
      </c>
      <c r="K73" s="4">
        <f t="shared" si="2"/>
        <v>240000</v>
      </c>
      <c r="L73" s="2" t="s">
        <v>20</v>
      </c>
      <c r="M73" s="2" t="s">
        <v>84</v>
      </c>
      <c r="N73" s="6">
        <v>46244</v>
      </c>
    </row>
    <row r="74" spans="1:14" x14ac:dyDescent="0.35">
      <c r="A74" s="2" t="s">
        <v>383</v>
      </c>
      <c r="B74" s="2" t="s">
        <v>384</v>
      </c>
      <c r="C74" s="2" t="s">
        <v>385</v>
      </c>
      <c r="D74" s="2" t="s">
        <v>386</v>
      </c>
      <c r="E74" s="2" t="s">
        <v>387</v>
      </c>
      <c r="F74" s="2" t="s">
        <v>26</v>
      </c>
      <c r="G74" s="2" t="s">
        <v>191</v>
      </c>
      <c r="H74" s="3">
        <v>46247</v>
      </c>
      <c r="I74" s="2">
        <v>3</v>
      </c>
      <c r="J74" s="4">
        <v>45000</v>
      </c>
      <c r="K74" s="4">
        <f t="shared" si="2"/>
        <v>135000</v>
      </c>
      <c r="L74" s="2" t="s">
        <v>70</v>
      </c>
      <c r="M74" s="2" t="s">
        <v>47</v>
      </c>
      <c r="N74" s="3">
        <v>46252</v>
      </c>
    </row>
    <row r="75" spans="1:14" x14ac:dyDescent="0.35">
      <c r="A75" s="2" t="s">
        <v>388</v>
      </c>
      <c r="B75" s="2" t="s">
        <v>389</v>
      </c>
      <c r="C75" s="2" t="s">
        <v>390</v>
      </c>
      <c r="D75" s="2" t="s">
        <v>391</v>
      </c>
      <c r="E75" s="2" t="s">
        <v>223</v>
      </c>
      <c r="F75" s="2" t="s">
        <v>353</v>
      </c>
      <c r="G75" s="2" t="s">
        <v>127</v>
      </c>
      <c r="H75" s="5">
        <v>46228</v>
      </c>
      <c r="I75" s="2">
        <v>4</v>
      </c>
      <c r="J75" s="4">
        <v>8500</v>
      </c>
      <c r="K75" s="4">
        <f t="shared" si="2"/>
        <v>34000</v>
      </c>
      <c r="L75" s="2" t="s">
        <v>107</v>
      </c>
      <c r="M75" s="2" t="s">
        <v>84</v>
      </c>
      <c r="N75" s="5">
        <v>46234</v>
      </c>
    </row>
    <row r="76" spans="1:14" x14ac:dyDescent="0.35">
      <c r="A76" s="2" t="s">
        <v>183</v>
      </c>
      <c r="B76" s="2" t="s">
        <v>184</v>
      </c>
      <c r="C76" s="2"/>
      <c r="D76" s="2" t="s">
        <v>185</v>
      </c>
      <c r="E76" s="2" t="s">
        <v>63</v>
      </c>
      <c r="F76" s="2" t="s">
        <v>186</v>
      </c>
      <c r="G76" s="2" t="s">
        <v>127</v>
      </c>
      <c r="H76" s="6">
        <v>46234</v>
      </c>
      <c r="I76" s="2">
        <v>5</v>
      </c>
      <c r="J76" s="4">
        <v>1500</v>
      </c>
      <c r="K76" s="4">
        <f t="shared" si="2"/>
        <v>7500</v>
      </c>
      <c r="L76" s="2" t="s">
        <v>70</v>
      </c>
      <c r="M76" s="2" t="s">
        <v>38</v>
      </c>
      <c r="N76" s="6">
        <v>46238</v>
      </c>
    </row>
    <row r="77" spans="1:14" x14ac:dyDescent="0.35">
      <c r="A77" s="2" t="s">
        <v>392</v>
      </c>
      <c r="B77" s="2" t="s">
        <v>393</v>
      </c>
      <c r="C77" s="2" t="s">
        <v>394</v>
      </c>
      <c r="D77" s="2" t="s">
        <v>395</v>
      </c>
      <c r="E77" s="2" t="s">
        <v>34</v>
      </c>
      <c r="F77" s="2" t="s">
        <v>132</v>
      </c>
      <c r="G77" s="2" t="s">
        <v>95</v>
      </c>
      <c r="H77" s="3">
        <v>46225</v>
      </c>
      <c r="I77" s="2">
        <v>3</v>
      </c>
      <c r="J77" s="4">
        <v>4000</v>
      </c>
      <c r="K77" s="4">
        <f t="shared" si="2"/>
        <v>12000</v>
      </c>
      <c r="L77" s="2" t="s">
        <v>28</v>
      </c>
      <c r="M77" s="2" t="s">
        <v>71</v>
      </c>
      <c r="N77" s="3">
        <v>46231</v>
      </c>
    </row>
    <row r="78" spans="1:14" x14ac:dyDescent="0.35">
      <c r="A78" s="2" t="s">
        <v>371</v>
      </c>
      <c r="B78" s="2" t="s">
        <v>372</v>
      </c>
      <c r="C78" s="2" t="s">
        <v>373</v>
      </c>
      <c r="D78" s="2" t="s">
        <v>374</v>
      </c>
      <c r="E78" s="2" t="s">
        <v>200</v>
      </c>
      <c r="F78" s="2" t="s">
        <v>132</v>
      </c>
      <c r="G78" s="2" t="s">
        <v>95</v>
      </c>
      <c r="H78" s="5">
        <v>46227</v>
      </c>
      <c r="I78" s="2">
        <v>5</v>
      </c>
      <c r="J78" s="4">
        <v>18000</v>
      </c>
      <c r="K78" s="4">
        <f t="shared" si="2"/>
        <v>90000</v>
      </c>
      <c r="L78" s="2" t="s">
        <v>102</v>
      </c>
      <c r="M78" s="2" t="s">
        <v>84</v>
      </c>
      <c r="N78" s="5">
        <v>46233</v>
      </c>
    </row>
    <row r="79" spans="1:14" x14ac:dyDescent="0.35">
      <c r="A79" s="2" t="s">
        <v>396</v>
      </c>
      <c r="B79" s="2" t="s">
        <v>397</v>
      </c>
      <c r="C79" s="2" t="s">
        <v>398</v>
      </c>
      <c r="D79" s="2" t="s">
        <v>399</v>
      </c>
      <c r="E79" s="2" t="s">
        <v>106</v>
      </c>
      <c r="F79" s="2" t="s">
        <v>89</v>
      </c>
      <c r="G79" s="2" t="s">
        <v>83</v>
      </c>
      <c r="H79" s="6">
        <v>46236</v>
      </c>
      <c r="I79" s="2">
        <v>4</v>
      </c>
      <c r="J79" s="4">
        <v>85000</v>
      </c>
      <c r="K79" s="4">
        <f t="shared" si="2"/>
        <v>340000</v>
      </c>
      <c r="L79" s="2" t="s">
        <v>53</v>
      </c>
      <c r="M79" s="2" t="s">
        <v>29</v>
      </c>
      <c r="N79" s="6">
        <v>46242</v>
      </c>
    </row>
    <row r="80" spans="1:14" x14ac:dyDescent="0.35">
      <c r="A80" s="2" t="s">
        <v>323</v>
      </c>
      <c r="B80" s="2" t="s">
        <v>324</v>
      </c>
      <c r="C80" s="2" t="s">
        <v>325</v>
      </c>
      <c r="D80" s="2" t="s">
        <v>326</v>
      </c>
      <c r="E80" s="2" t="s">
        <v>152</v>
      </c>
      <c r="F80" s="2" t="s">
        <v>327</v>
      </c>
      <c r="G80" s="2" t="s">
        <v>191</v>
      </c>
      <c r="H80" s="3">
        <v>46248</v>
      </c>
      <c r="I80" s="2">
        <v>2</v>
      </c>
      <c r="J80" s="4">
        <v>1500</v>
      </c>
      <c r="K80" s="4">
        <f t="shared" si="2"/>
        <v>3000</v>
      </c>
      <c r="L80" s="2" t="s">
        <v>102</v>
      </c>
      <c r="M80" s="2" t="s">
        <v>47</v>
      </c>
      <c r="N80" s="3">
        <v>46250</v>
      </c>
    </row>
    <row r="81" spans="1:14" x14ac:dyDescent="0.35">
      <c r="A81" s="2" t="s">
        <v>400</v>
      </c>
      <c r="B81" s="2" t="s">
        <v>401</v>
      </c>
      <c r="C81" s="2" t="s">
        <v>402</v>
      </c>
      <c r="D81" s="2" t="s">
        <v>403</v>
      </c>
      <c r="E81" s="2" t="s">
        <v>52</v>
      </c>
      <c r="F81" s="2" t="s">
        <v>206</v>
      </c>
      <c r="G81" s="2" t="s">
        <v>207</v>
      </c>
      <c r="H81" s="5">
        <v>46253</v>
      </c>
      <c r="I81" s="2">
        <v>3</v>
      </c>
      <c r="J81" s="4">
        <v>85000</v>
      </c>
      <c r="K81" s="4">
        <f t="shared" si="2"/>
        <v>255000</v>
      </c>
      <c r="L81" s="2" t="s">
        <v>102</v>
      </c>
      <c r="M81" s="2" t="s">
        <v>47</v>
      </c>
      <c r="N81" s="5">
        <v>46260</v>
      </c>
    </row>
    <row r="82" spans="1:14" x14ac:dyDescent="0.35">
      <c r="A82" s="2" t="s">
        <v>404</v>
      </c>
      <c r="B82" s="2" t="s">
        <v>405</v>
      </c>
      <c r="C82" s="2" t="s">
        <v>406</v>
      </c>
      <c r="D82" s="2" t="s">
        <v>407</v>
      </c>
      <c r="E82" s="2" t="s">
        <v>212</v>
      </c>
      <c r="F82" s="2" t="s">
        <v>26</v>
      </c>
      <c r="G82" s="2" t="s">
        <v>191</v>
      </c>
      <c r="H82" s="6">
        <v>46253</v>
      </c>
      <c r="I82" s="2">
        <v>3</v>
      </c>
      <c r="J82" s="4">
        <v>1500</v>
      </c>
      <c r="K82" s="4">
        <f t="shared" si="2"/>
        <v>4500</v>
      </c>
      <c r="L82" s="2" t="s">
        <v>53</v>
      </c>
      <c r="M82" s="2" t="s">
        <v>29</v>
      </c>
      <c r="N82" s="6">
        <v>46256</v>
      </c>
    </row>
    <row r="83" spans="1:14" x14ac:dyDescent="0.35">
      <c r="A83" s="2" t="s">
        <v>408</v>
      </c>
      <c r="B83" s="2" t="s">
        <v>409</v>
      </c>
      <c r="C83" s="2" t="s">
        <v>410</v>
      </c>
      <c r="D83" s="2" t="s">
        <v>411</v>
      </c>
      <c r="E83" s="2" t="s">
        <v>263</v>
      </c>
      <c r="F83" s="2" t="s">
        <v>412</v>
      </c>
      <c r="G83" s="2" t="s">
        <v>27</v>
      </c>
      <c r="H83" s="3">
        <v>46249</v>
      </c>
      <c r="I83" s="2">
        <v>1</v>
      </c>
      <c r="J83" s="4">
        <v>120000</v>
      </c>
      <c r="K83" s="4">
        <f t="shared" si="2"/>
        <v>120000</v>
      </c>
      <c r="L83" s="2"/>
      <c r="M83" s="2" t="s">
        <v>84</v>
      </c>
      <c r="N83" s="3">
        <v>46254</v>
      </c>
    </row>
    <row r="84" spans="1:14" x14ac:dyDescent="0.35">
      <c r="A84" s="2" t="s">
        <v>413</v>
      </c>
      <c r="B84" s="2" t="s">
        <v>414</v>
      </c>
      <c r="C84" s="2" t="s">
        <v>415</v>
      </c>
      <c r="D84" s="2" t="s">
        <v>416</v>
      </c>
      <c r="E84" s="2" t="s">
        <v>182</v>
      </c>
      <c r="F84" s="2" t="s">
        <v>186</v>
      </c>
      <c r="G84" s="2" t="s">
        <v>95</v>
      </c>
      <c r="H84" s="5">
        <v>46206</v>
      </c>
      <c r="I84" s="2">
        <v>4</v>
      </c>
      <c r="J84" s="4">
        <v>4000</v>
      </c>
      <c r="K84" s="4">
        <f t="shared" si="2"/>
        <v>16000</v>
      </c>
      <c r="L84" s="2" t="s">
        <v>53</v>
      </c>
      <c r="M84" s="2" t="s">
        <v>29</v>
      </c>
      <c r="N84" s="5">
        <v>46211</v>
      </c>
    </row>
    <row r="85" spans="1:14" x14ac:dyDescent="0.35">
      <c r="A85" s="2" t="s">
        <v>417</v>
      </c>
      <c r="B85" s="2" t="s">
        <v>161</v>
      </c>
      <c r="C85" s="2" t="s">
        <v>418</v>
      </c>
      <c r="D85" s="2" t="s">
        <v>419</v>
      </c>
      <c r="E85" s="2" t="s">
        <v>263</v>
      </c>
      <c r="F85" s="2" t="s">
        <v>146</v>
      </c>
      <c r="G85" s="2" t="s">
        <v>214</v>
      </c>
      <c r="H85" s="6">
        <v>46254</v>
      </c>
      <c r="I85" s="2">
        <v>5</v>
      </c>
      <c r="J85" s="4">
        <v>120000</v>
      </c>
      <c r="K85" s="4">
        <f t="shared" si="2"/>
        <v>600000</v>
      </c>
      <c r="L85" s="2" t="s">
        <v>28</v>
      </c>
      <c r="M85" s="2" t="s">
        <v>96</v>
      </c>
      <c r="N85" s="6">
        <v>46258</v>
      </c>
    </row>
    <row r="86" spans="1:14" x14ac:dyDescent="0.35">
      <c r="A86" s="2" t="s">
        <v>420</v>
      </c>
      <c r="B86" s="2" t="s">
        <v>421</v>
      </c>
      <c r="C86" s="2" t="s">
        <v>422</v>
      </c>
      <c r="D86" s="2"/>
      <c r="E86" s="2" t="s">
        <v>141</v>
      </c>
      <c r="F86" s="2" t="s">
        <v>423</v>
      </c>
      <c r="G86" s="2" t="s">
        <v>207</v>
      </c>
      <c r="H86" s="3">
        <v>46245</v>
      </c>
      <c r="I86" s="2">
        <v>2</v>
      </c>
      <c r="J86" s="4">
        <v>1500</v>
      </c>
      <c r="K86" s="4">
        <f t="shared" si="2"/>
        <v>3000</v>
      </c>
      <c r="L86" s="2" t="s">
        <v>70</v>
      </c>
      <c r="M86" s="2" t="s">
        <v>47</v>
      </c>
      <c r="N86" s="3">
        <v>46249</v>
      </c>
    </row>
    <row r="87" spans="1:14" x14ac:dyDescent="0.35">
      <c r="A87" s="2" t="s">
        <v>424</v>
      </c>
      <c r="B87" s="2" t="s">
        <v>425</v>
      </c>
      <c r="C87" s="2" t="s">
        <v>426</v>
      </c>
      <c r="D87" s="2" t="s">
        <v>427</v>
      </c>
      <c r="E87" s="2" t="s">
        <v>277</v>
      </c>
      <c r="F87" s="2" t="s">
        <v>113</v>
      </c>
      <c r="G87" s="2" t="s">
        <v>83</v>
      </c>
      <c r="H87" s="5">
        <v>46247</v>
      </c>
      <c r="I87" s="2">
        <v>1</v>
      </c>
      <c r="J87" s="4">
        <v>65000</v>
      </c>
      <c r="K87" s="4">
        <f t="shared" si="2"/>
        <v>65000</v>
      </c>
      <c r="L87" s="2" t="s">
        <v>102</v>
      </c>
      <c r="M87" s="2" t="s">
        <v>38</v>
      </c>
      <c r="N87" s="5">
        <v>46253</v>
      </c>
    </row>
    <row r="88" spans="1:14" x14ac:dyDescent="0.35">
      <c r="A88" s="2" t="s">
        <v>428</v>
      </c>
      <c r="B88" s="2" t="s">
        <v>429</v>
      </c>
      <c r="C88" s="2" t="s">
        <v>430</v>
      </c>
      <c r="D88" s="2" t="s">
        <v>431</v>
      </c>
      <c r="E88" s="2" t="s">
        <v>152</v>
      </c>
      <c r="F88" s="2" t="s">
        <v>146</v>
      </c>
      <c r="G88" s="2" t="s">
        <v>77</v>
      </c>
      <c r="H88" s="6">
        <v>46207</v>
      </c>
      <c r="I88" s="2">
        <v>4</v>
      </c>
      <c r="J88" s="4">
        <v>120000</v>
      </c>
      <c r="K88" s="4">
        <f t="shared" si="2"/>
        <v>480000</v>
      </c>
      <c r="L88" s="2" t="s">
        <v>53</v>
      </c>
      <c r="M88" s="2" t="s">
        <v>71</v>
      </c>
      <c r="N88" s="6">
        <v>46213</v>
      </c>
    </row>
    <row r="89" spans="1:14" x14ac:dyDescent="0.35">
      <c r="A89" s="2" t="s">
        <v>432</v>
      </c>
      <c r="B89" s="2" t="s">
        <v>274</v>
      </c>
      <c r="C89" s="2" t="s">
        <v>275</v>
      </c>
      <c r="D89" s="2"/>
      <c r="E89" s="2" t="s">
        <v>141</v>
      </c>
      <c r="F89" s="2" t="s">
        <v>76</v>
      </c>
      <c r="G89" s="2" t="s">
        <v>118</v>
      </c>
      <c r="H89" s="3">
        <v>46228</v>
      </c>
      <c r="I89" s="2">
        <v>1</v>
      </c>
      <c r="J89" s="4">
        <v>120000</v>
      </c>
      <c r="K89" s="4">
        <f t="shared" si="2"/>
        <v>120000</v>
      </c>
      <c r="L89" s="2" t="s">
        <v>37</v>
      </c>
      <c r="M89" s="2" t="s">
        <v>96</v>
      </c>
      <c r="N89" s="3">
        <v>46233</v>
      </c>
    </row>
    <row r="90" spans="1:14" x14ac:dyDescent="0.35">
      <c r="A90" s="2" t="s">
        <v>433</v>
      </c>
      <c r="B90" s="2" t="s">
        <v>434</v>
      </c>
      <c r="C90" s="2"/>
      <c r="D90" s="2" t="s">
        <v>435</v>
      </c>
      <c r="E90" s="2" t="s">
        <v>43</v>
      </c>
      <c r="F90" s="2" t="s">
        <v>136</v>
      </c>
      <c r="G90" s="2" t="s">
        <v>45</v>
      </c>
      <c r="H90" s="5">
        <v>46250</v>
      </c>
      <c r="I90" s="2">
        <v>1</v>
      </c>
      <c r="J90" s="4">
        <v>120000</v>
      </c>
      <c r="K90" s="4">
        <f t="shared" si="2"/>
        <v>120000</v>
      </c>
      <c r="L90" s="2" t="s">
        <v>147</v>
      </c>
      <c r="M90" s="2" t="s">
        <v>29</v>
      </c>
      <c r="N90" s="5">
        <v>46252</v>
      </c>
    </row>
    <row r="91" spans="1:14" x14ac:dyDescent="0.35">
      <c r="A91" s="2" t="s">
        <v>436</v>
      </c>
      <c r="B91" s="2" t="s">
        <v>437</v>
      </c>
      <c r="C91" s="2"/>
      <c r="D91" s="2" t="s">
        <v>438</v>
      </c>
      <c r="E91" s="2" t="s">
        <v>263</v>
      </c>
      <c r="F91" s="2" t="s">
        <v>299</v>
      </c>
      <c r="G91" s="2" t="s">
        <v>171</v>
      </c>
      <c r="H91" s="6">
        <v>46242</v>
      </c>
      <c r="I91" s="2">
        <v>3</v>
      </c>
      <c r="J91" s="4">
        <v>8500</v>
      </c>
      <c r="K91" s="4">
        <f t="shared" si="2"/>
        <v>25500</v>
      </c>
      <c r="L91" s="2" t="s">
        <v>53</v>
      </c>
      <c r="M91" s="2" t="s">
        <v>90</v>
      </c>
      <c r="N91" s="6">
        <v>46249</v>
      </c>
    </row>
    <row r="92" spans="1:14" x14ac:dyDescent="0.35">
      <c r="A92" s="2" t="s">
        <v>439</v>
      </c>
      <c r="B92" s="2" t="s">
        <v>440</v>
      </c>
      <c r="C92" s="2" t="s">
        <v>441</v>
      </c>
      <c r="D92" s="2" t="s">
        <v>442</v>
      </c>
      <c r="E92" s="2" t="s">
        <v>304</v>
      </c>
      <c r="F92" s="2" t="s">
        <v>232</v>
      </c>
      <c r="G92" s="2" t="s">
        <v>77</v>
      </c>
      <c r="H92" s="3">
        <v>46223</v>
      </c>
      <c r="I92" s="2">
        <v>2</v>
      </c>
      <c r="J92" s="4">
        <v>45000</v>
      </c>
      <c r="K92" s="4">
        <f t="shared" si="2"/>
        <v>90000</v>
      </c>
      <c r="L92" s="2" t="s">
        <v>20</v>
      </c>
      <c r="M92" s="2" t="s">
        <v>71</v>
      </c>
      <c r="N92" s="3">
        <v>46230</v>
      </c>
    </row>
    <row r="93" spans="1:14" x14ac:dyDescent="0.35">
      <c r="A93" s="2" t="s">
        <v>443</v>
      </c>
      <c r="B93" s="2" t="s">
        <v>444</v>
      </c>
      <c r="C93" s="2" t="s">
        <v>445</v>
      </c>
      <c r="D93" s="2" t="s">
        <v>446</v>
      </c>
      <c r="E93" s="2" t="s">
        <v>263</v>
      </c>
      <c r="F93" s="2" t="s">
        <v>447</v>
      </c>
      <c r="G93" s="2"/>
      <c r="H93" s="5">
        <v>46241</v>
      </c>
      <c r="I93" s="2">
        <v>5</v>
      </c>
      <c r="J93" s="4">
        <v>8500</v>
      </c>
      <c r="K93" s="4">
        <f t="shared" si="2"/>
        <v>42500</v>
      </c>
      <c r="L93" s="2" t="s">
        <v>102</v>
      </c>
      <c r="M93" s="2" t="s">
        <v>38</v>
      </c>
      <c r="N93" s="5">
        <v>46248</v>
      </c>
    </row>
    <row r="94" spans="1:14" x14ac:dyDescent="0.35">
      <c r="A94" s="2" t="s">
        <v>273</v>
      </c>
      <c r="B94" s="2" t="s">
        <v>274</v>
      </c>
      <c r="C94" s="2" t="s">
        <v>275</v>
      </c>
      <c r="D94" s="2" t="s">
        <v>276</v>
      </c>
      <c r="E94" s="2" t="s">
        <v>277</v>
      </c>
      <c r="F94" s="2" t="s">
        <v>26</v>
      </c>
      <c r="G94" s="2" t="s">
        <v>83</v>
      </c>
      <c r="H94" s="6">
        <v>46235</v>
      </c>
      <c r="I94" s="2">
        <v>1</v>
      </c>
      <c r="J94" s="4">
        <v>45000</v>
      </c>
      <c r="K94" s="4">
        <f t="shared" si="2"/>
        <v>45000</v>
      </c>
      <c r="L94" s="2" t="s">
        <v>46</v>
      </c>
      <c r="M94" s="2" t="s">
        <v>38</v>
      </c>
      <c r="N94" s="6">
        <v>46240</v>
      </c>
    </row>
    <row r="95" spans="1:14" x14ac:dyDescent="0.35">
      <c r="A95" s="2" t="s">
        <v>448</v>
      </c>
      <c r="B95" s="2" t="s">
        <v>449</v>
      </c>
      <c r="C95" s="2" t="s">
        <v>450</v>
      </c>
      <c r="D95" s="2" t="s">
        <v>451</v>
      </c>
      <c r="E95" s="2" t="s">
        <v>106</v>
      </c>
      <c r="F95" s="2" t="s">
        <v>136</v>
      </c>
      <c r="G95" s="2" t="s">
        <v>207</v>
      </c>
      <c r="H95" s="3">
        <v>46252</v>
      </c>
      <c r="I95" s="2">
        <v>4</v>
      </c>
      <c r="J95" s="4">
        <v>45000</v>
      </c>
      <c r="K95" s="4">
        <f t="shared" si="2"/>
        <v>180000</v>
      </c>
      <c r="L95" s="2" t="s">
        <v>107</v>
      </c>
      <c r="M95" s="2" t="s">
        <v>38</v>
      </c>
      <c r="N95" s="3">
        <v>46257</v>
      </c>
    </row>
    <row r="96" spans="1:14" x14ac:dyDescent="0.35">
      <c r="A96" s="2" t="s">
        <v>452</v>
      </c>
      <c r="B96" s="2" t="s">
        <v>453</v>
      </c>
      <c r="C96" s="2" t="s">
        <v>454</v>
      </c>
      <c r="D96" s="2" t="s">
        <v>455</v>
      </c>
      <c r="E96" s="2" t="s">
        <v>263</v>
      </c>
      <c r="F96" s="2" t="s">
        <v>268</v>
      </c>
      <c r="G96" s="2" t="s">
        <v>95</v>
      </c>
      <c r="H96" s="5">
        <v>46246</v>
      </c>
      <c r="I96" s="2">
        <v>4</v>
      </c>
      <c r="J96" s="4">
        <v>120000</v>
      </c>
      <c r="K96" s="4">
        <f t="shared" si="2"/>
        <v>480000</v>
      </c>
      <c r="L96" s="2"/>
      <c r="M96" s="2" t="s">
        <v>84</v>
      </c>
      <c r="N96" s="5">
        <v>46252</v>
      </c>
    </row>
    <row r="97" spans="1:14" x14ac:dyDescent="0.35">
      <c r="A97" s="2" t="s">
        <v>456</v>
      </c>
      <c r="B97" s="2" t="s">
        <v>457</v>
      </c>
      <c r="C97" s="2" t="s">
        <v>458</v>
      </c>
      <c r="D97" s="2" t="s">
        <v>459</v>
      </c>
      <c r="E97" s="2" t="s">
        <v>182</v>
      </c>
      <c r="F97" s="2" t="s">
        <v>89</v>
      </c>
      <c r="G97" s="2" t="s">
        <v>83</v>
      </c>
      <c r="H97" s="6">
        <v>46209</v>
      </c>
      <c r="I97" s="2">
        <v>4</v>
      </c>
      <c r="J97" s="4">
        <v>45000</v>
      </c>
      <c r="K97" s="4">
        <f t="shared" si="2"/>
        <v>180000</v>
      </c>
      <c r="L97" s="2" t="s">
        <v>20</v>
      </c>
      <c r="M97" s="2" t="s">
        <v>90</v>
      </c>
      <c r="N97" s="6">
        <v>46213</v>
      </c>
    </row>
    <row r="98" spans="1:14" x14ac:dyDescent="0.35">
      <c r="A98" s="2" t="s">
        <v>460</v>
      </c>
      <c r="B98" s="2" t="s">
        <v>461</v>
      </c>
      <c r="C98" s="2" t="s">
        <v>462</v>
      </c>
      <c r="D98" s="2" t="s">
        <v>463</v>
      </c>
      <c r="E98" s="2" t="s">
        <v>43</v>
      </c>
      <c r="F98" s="2" t="s">
        <v>159</v>
      </c>
      <c r="G98" s="2" t="s">
        <v>27</v>
      </c>
      <c r="H98" s="3">
        <v>46248</v>
      </c>
      <c r="I98" s="2">
        <v>4</v>
      </c>
      <c r="J98" s="4">
        <v>12000</v>
      </c>
      <c r="K98" s="4">
        <f t="shared" ref="K98:K105" si="3">I98*J98</f>
        <v>48000</v>
      </c>
      <c r="L98" s="2" t="s">
        <v>20</v>
      </c>
      <c r="M98" s="2" t="s">
        <v>90</v>
      </c>
      <c r="N98" s="3">
        <v>46254</v>
      </c>
    </row>
    <row r="99" spans="1:14" x14ac:dyDescent="0.35">
      <c r="A99" s="2" t="s">
        <v>464</v>
      </c>
      <c r="B99" s="2" t="s">
        <v>465</v>
      </c>
      <c r="C99" s="2" t="s">
        <v>466</v>
      </c>
      <c r="D99" s="2" t="s">
        <v>467</v>
      </c>
      <c r="E99" s="2" t="s">
        <v>223</v>
      </c>
      <c r="F99" s="2" t="s">
        <v>136</v>
      </c>
      <c r="G99" s="2" t="s">
        <v>65</v>
      </c>
      <c r="H99" s="5">
        <v>46225</v>
      </c>
      <c r="I99" s="2">
        <v>2</v>
      </c>
      <c r="J99" s="4">
        <v>2500</v>
      </c>
      <c r="K99" s="4">
        <f t="shared" si="3"/>
        <v>5000</v>
      </c>
      <c r="L99" s="2" t="s">
        <v>37</v>
      </c>
      <c r="M99" s="2" t="s">
        <v>38</v>
      </c>
      <c r="N99" s="5">
        <v>46230</v>
      </c>
    </row>
    <row r="100" spans="1:14" x14ac:dyDescent="0.35">
      <c r="A100" s="2" t="s">
        <v>468</v>
      </c>
      <c r="B100" s="2" t="s">
        <v>469</v>
      </c>
      <c r="C100" s="2" t="s">
        <v>470</v>
      </c>
      <c r="D100" s="2" t="s">
        <v>471</v>
      </c>
      <c r="E100" s="2" t="s">
        <v>82</v>
      </c>
      <c r="F100" s="2" t="s">
        <v>26</v>
      </c>
      <c r="G100" s="2" t="s">
        <v>191</v>
      </c>
      <c r="H100" s="6">
        <v>46209</v>
      </c>
      <c r="I100" s="2">
        <v>3</v>
      </c>
      <c r="J100" s="4">
        <v>8500</v>
      </c>
      <c r="K100" s="4">
        <f t="shared" si="3"/>
        <v>25500</v>
      </c>
      <c r="L100" s="2" t="s">
        <v>70</v>
      </c>
      <c r="M100" s="2" t="s">
        <v>47</v>
      </c>
      <c r="N100" s="6">
        <v>46215</v>
      </c>
    </row>
    <row r="101" spans="1:14" x14ac:dyDescent="0.35">
      <c r="A101" s="2" t="s">
        <v>472</v>
      </c>
      <c r="B101" s="2" t="s">
        <v>473</v>
      </c>
      <c r="C101" s="2" t="s">
        <v>474</v>
      </c>
      <c r="D101" s="2" t="s">
        <v>475</v>
      </c>
      <c r="E101" s="2" t="s">
        <v>200</v>
      </c>
      <c r="F101" s="2" t="s">
        <v>476</v>
      </c>
      <c r="G101" s="2" t="s">
        <v>83</v>
      </c>
      <c r="H101" s="3">
        <v>46209</v>
      </c>
      <c r="I101" s="2">
        <v>5</v>
      </c>
      <c r="J101" s="4">
        <v>18000</v>
      </c>
      <c r="K101" s="4">
        <f t="shared" si="3"/>
        <v>90000</v>
      </c>
      <c r="L101" s="2"/>
      <c r="M101" s="2" t="s">
        <v>71</v>
      </c>
      <c r="N101" s="3">
        <v>46215</v>
      </c>
    </row>
    <row r="102" spans="1:14" x14ac:dyDescent="0.35">
      <c r="A102" s="2" t="s">
        <v>477</v>
      </c>
      <c r="B102" s="2" t="s">
        <v>478</v>
      </c>
      <c r="C102" s="2" t="s">
        <v>479</v>
      </c>
      <c r="D102" s="2" t="s">
        <v>480</v>
      </c>
      <c r="E102" s="2" t="s">
        <v>241</v>
      </c>
      <c r="F102" s="2" t="s">
        <v>44</v>
      </c>
      <c r="G102" s="2" t="s">
        <v>207</v>
      </c>
      <c r="H102" s="5">
        <v>46219</v>
      </c>
      <c r="I102" s="2">
        <v>4</v>
      </c>
      <c r="J102" s="4">
        <v>85000</v>
      </c>
      <c r="K102" s="4">
        <f t="shared" si="3"/>
        <v>340000</v>
      </c>
      <c r="L102" s="2" t="s">
        <v>20</v>
      </c>
      <c r="M102" s="2" t="s">
        <v>29</v>
      </c>
      <c r="N102" s="5">
        <v>46226</v>
      </c>
    </row>
    <row r="103" spans="1:14" x14ac:dyDescent="0.35">
      <c r="A103" s="2" t="s">
        <v>481</v>
      </c>
      <c r="B103" s="2" t="s">
        <v>482</v>
      </c>
      <c r="C103" s="2" t="s">
        <v>483</v>
      </c>
      <c r="D103" s="2" t="s">
        <v>484</v>
      </c>
      <c r="E103" s="2" t="s">
        <v>176</v>
      </c>
      <c r="F103" s="2" t="s">
        <v>232</v>
      </c>
      <c r="G103" s="2" t="s">
        <v>118</v>
      </c>
      <c r="H103" s="6">
        <v>46240</v>
      </c>
      <c r="I103" s="2">
        <v>3</v>
      </c>
      <c r="J103" s="4">
        <v>25000</v>
      </c>
      <c r="K103" s="4">
        <f t="shared" si="3"/>
        <v>75000</v>
      </c>
      <c r="L103" s="2" t="s">
        <v>53</v>
      </c>
      <c r="M103" s="2" t="s">
        <v>71</v>
      </c>
      <c r="N103" s="6">
        <v>46243</v>
      </c>
    </row>
    <row r="104" spans="1:14" x14ac:dyDescent="0.35">
      <c r="A104" s="2" t="s">
        <v>485</v>
      </c>
      <c r="B104" s="2" t="s">
        <v>486</v>
      </c>
      <c r="C104" s="2" t="s">
        <v>487</v>
      </c>
      <c r="D104" s="2" t="s">
        <v>488</v>
      </c>
      <c r="E104" s="2" t="s">
        <v>112</v>
      </c>
      <c r="F104" s="2" t="s">
        <v>309</v>
      </c>
      <c r="G104" s="2" t="s">
        <v>36</v>
      </c>
      <c r="H104" s="3">
        <v>46231</v>
      </c>
      <c r="I104" s="2">
        <v>1</v>
      </c>
      <c r="J104" s="4">
        <v>45000</v>
      </c>
      <c r="K104" s="4">
        <f t="shared" si="3"/>
        <v>45000</v>
      </c>
      <c r="L104" s="2" t="s">
        <v>20</v>
      </c>
      <c r="M104" s="2" t="s">
        <v>71</v>
      </c>
      <c r="N104" s="3">
        <v>46236</v>
      </c>
    </row>
    <row r="105" spans="1:14" x14ac:dyDescent="0.35">
      <c r="A105" s="2" t="s">
        <v>489</v>
      </c>
      <c r="B105" s="2" t="s">
        <v>490</v>
      </c>
      <c r="C105" s="2" t="s">
        <v>491</v>
      </c>
      <c r="D105" s="2" t="s">
        <v>492</v>
      </c>
      <c r="E105" s="2" t="s">
        <v>106</v>
      </c>
      <c r="F105" s="2" t="s">
        <v>186</v>
      </c>
      <c r="G105" s="2" t="s">
        <v>36</v>
      </c>
      <c r="H105" s="5">
        <v>46252</v>
      </c>
      <c r="I105" s="2">
        <v>4</v>
      </c>
      <c r="J105" s="4">
        <v>2500</v>
      </c>
      <c r="K105" s="4">
        <f t="shared" si="3"/>
        <v>10000</v>
      </c>
      <c r="L105" s="2" t="s">
        <v>20</v>
      </c>
      <c r="M105" s="2" t="s">
        <v>47</v>
      </c>
      <c r="N105" s="5">
        <v>46256</v>
      </c>
    </row>
    <row r="107" spans="1:14" x14ac:dyDescent="0.35">
      <c r="A107" s="7" t="s">
        <v>493</v>
      </c>
    </row>
  </sheetData>
  <autoFilter ref="A1:N105"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876A6-958D-4C3B-B82B-42442FE8ACDA}">
  <dimension ref="A2:E22"/>
  <sheetViews>
    <sheetView workbookViewId="0">
      <selection activeCell="B17" sqref="B17"/>
    </sheetView>
  </sheetViews>
  <sheetFormatPr defaultRowHeight="14.5" x14ac:dyDescent="0.35"/>
  <cols>
    <col min="1" max="1" width="12.36328125" bestFit="1" customWidth="1"/>
    <col min="2" max="2" width="16.6328125" bestFit="1" customWidth="1"/>
    <col min="4" max="4" width="12.36328125" bestFit="1" customWidth="1"/>
    <col min="5" max="5" width="16.6328125" bestFit="1" customWidth="1"/>
    <col min="7" max="7" width="12.36328125" bestFit="1" customWidth="1"/>
    <col min="8" max="8" width="16.6328125" bestFit="1" customWidth="1"/>
  </cols>
  <sheetData>
    <row r="2" spans="1:5" x14ac:dyDescent="0.35">
      <c r="A2" s="31" t="s">
        <v>502</v>
      </c>
      <c r="B2" t="s">
        <v>504</v>
      </c>
      <c r="D2" s="31" t="s">
        <v>502</v>
      </c>
      <c r="E2" t="s">
        <v>504</v>
      </c>
    </row>
    <row r="3" spans="1:5" x14ac:dyDescent="0.35">
      <c r="A3" s="32" t="s">
        <v>27</v>
      </c>
      <c r="B3">
        <v>4068500</v>
      </c>
      <c r="D3" s="32" t="s">
        <v>46</v>
      </c>
      <c r="E3">
        <v>1813000</v>
      </c>
    </row>
    <row r="4" spans="1:5" x14ac:dyDescent="0.35">
      <c r="A4" s="32" t="s">
        <v>77</v>
      </c>
      <c r="B4">
        <v>3308000</v>
      </c>
      <c r="D4" s="32" t="s">
        <v>20</v>
      </c>
      <c r="E4">
        <v>3974000</v>
      </c>
    </row>
    <row r="5" spans="1:5" x14ac:dyDescent="0.35">
      <c r="A5" s="32" t="s">
        <v>95</v>
      </c>
      <c r="B5">
        <v>2413000</v>
      </c>
      <c r="D5" s="32" t="s">
        <v>28</v>
      </c>
      <c r="E5">
        <v>4299500</v>
      </c>
    </row>
    <row r="6" spans="1:5" x14ac:dyDescent="0.35">
      <c r="A6" s="32" t="s">
        <v>45</v>
      </c>
      <c r="B6">
        <v>2196500</v>
      </c>
      <c r="D6" s="32" t="s">
        <v>102</v>
      </c>
      <c r="E6">
        <v>2476500</v>
      </c>
    </row>
    <row r="7" spans="1:5" x14ac:dyDescent="0.35">
      <c r="A7" s="32" t="s">
        <v>171</v>
      </c>
      <c r="B7">
        <v>1710500</v>
      </c>
      <c r="D7" s="32" t="s">
        <v>496</v>
      </c>
      <c r="E7">
        <v>1290000</v>
      </c>
    </row>
    <row r="8" spans="1:5" x14ac:dyDescent="0.35">
      <c r="A8" s="32" t="s">
        <v>495</v>
      </c>
      <c r="B8">
        <v>156500</v>
      </c>
      <c r="D8" s="32" t="s">
        <v>503</v>
      </c>
      <c r="E8">
        <v>13853000</v>
      </c>
    </row>
    <row r="9" spans="1:5" x14ac:dyDescent="0.35">
      <c r="A9" s="32" t="s">
        <v>503</v>
      </c>
      <c r="B9">
        <v>13853000</v>
      </c>
    </row>
    <row r="12" spans="1:5" x14ac:dyDescent="0.35">
      <c r="A12" s="31" t="s">
        <v>502</v>
      </c>
      <c r="B12" t="s">
        <v>504</v>
      </c>
      <c r="D12" s="31" t="s">
        <v>502</v>
      </c>
      <c r="E12" t="s">
        <v>504</v>
      </c>
    </row>
    <row r="13" spans="1:5" x14ac:dyDescent="0.35">
      <c r="A13" s="32" t="s">
        <v>25</v>
      </c>
      <c r="B13">
        <v>3155500</v>
      </c>
      <c r="D13" s="32" t="s">
        <v>507</v>
      </c>
      <c r="E13" s="27">
        <v>13853000</v>
      </c>
    </row>
    <row r="14" spans="1:5" x14ac:dyDescent="0.35">
      <c r="A14" s="32" t="s">
        <v>152</v>
      </c>
      <c r="B14">
        <v>2459000</v>
      </c>
      <c r="D14" s="33" t="s">
        <v>505</v>
      </c>
      <c r="E14" s="27">
        <v>7724500</v>
      </c>
    </row>
    <row r="15" spans="1:5" x14ac:dyDescent="0.35">
      <c r="A15" s="32" t="s">
        <v>263</v>
      </c>
      <c r="B15">
        <v>2043000</v>
      </c>
      <c r="D15" s="33" t="s">
        <v>506</v>
      </c>
      <c r="E15" s="27">
        <v>6128500</v>
      </c>
    </row>
    <row r="16" spans="1:5" x14ac:dyDescent="0.35">
      <c r="A16" s="32" t="s">
        <v>158</v>
      </c>
      <c r="B16">
        <v>1695000</v>
      </c>
      <c r="D16" s="32" t="s">
        <v>503</v>
      </c>
      <c r="E16" s="27">
        <v>13853000</v>
      </c>
    </row>
    <row r="17" spans="1:2" x14ac:dyDescent="0.35">
      <c r="A17" s="32" t="s">
        <v>141</v>
      </c>
      <c r="B17">
        <v>1143500</v>
      </c>
    </row>
    <row r="18" spans="1:2" x14ac:dyDescent="0.35">
      <c r="A18" s="32" t="s">
        <v>241</v>
      </c>
      <c r="B18">
        <v>1061500</v>
      </c>
    </row>
    <row r="19" spans="1:2" x14ac:dyDescent="0.35">
      <c r="A19" s="32" t="s">
        <v>106</v>
      </c>
      <c r="B19">
        <v>1004500</v>
      </c>
    </row>
    <row r="20" spans="1:2" x14ac:dyDescent="0.35">
      <c r="A20" s="32" t="s">
        <v>495</v>
      </c>
      <c r="B20">
        <v>813000</v>
      </c>
    </row>
    <row r="21" spans="1:2" x14ac:dyDescent="0.35">
      <c r="A21" s="32" t="s">
        <v>18</v>
      </c>
      <c r="B21">
        <v>478000</v>
      </c>
    </row>
    <row r="22" spans="1:2" x14ac:dyDescent="0.35">
      <c r="A22" s="32" t="s">
        <v>503</v>
      </c>
      <c r="B22">
        <v>13853000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CA87-60AA-4387-B3B6-758AB4ACFACA}">
  <dimension ref="B2:H4"/>
  <sheetViews>
    <sheetView topLeftCell="A3" workbookViewId="0">
      <selection activeCell="H4" sqref="H4"/>
    </sheetView>
  </sheetViews>
  <sheetFormatPr defaultRowHeight="14.5" x14ac:dyDescent="0.35"/>
  <cols>
    <col min="2" max="2" width="14.1796875" customWidth="1"/>
    <col min="4" max="4" width="11.54296875" customWidth="1"/>
    <col min="6" max="6" width="13.26953125" customWidth="1"/>
    <col min="8" max="8" width="17.81640625" customWidth="1"/>
  </cols>
  <sheetData>
    <row r="2" spans="2:8" x14ac:dyDescent="0.35">
      <c r="B2" s="27"/>
    </row>
    <row r="3" spans="2:8" x14ac:dyDescent="0.35">
      <c r="B3" s="27" t="s">
        <v>516</v>
      </c>
      <c r="D3" t="s">
        <v>517</v>
      </c>
      <c r="F3" t="s">
        <v>518</v>
      </c>
      <c r="H3" t="s">
        <v>519</v>
      </c>
    </row>
    <row r="4" spans="2:8" x14ac:dyDescent="0.35">
      <c r="B4" s="27">
        <f>SUM(SalesData[Total_Sales])</f>
        <v>13853000</v>
      </c>
      <c r="D4" s="23">
        <f>COUNTA(SalesData[Order_ID])</f>
        <v>103</v>
      </c>
      <c r="F4">
        <f>SUM(SalesData[Quantity])</f>
        <v>323</v>
      </c>
      <c r="H4" s="42">
        <f>AVERAGE(SalesData[Total_Sales])</f>
        <v>134495.14563106795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1502-F5B8-4A31-B187-11EC36B6BF55}">
  <dimension ref="B2:N7"/>
  <sheetViews>
    <sheetView showGridLines="0" tabSelected="1" zoomScale="70" zoomScaleNormal="70" workbookViewId="0">
      <selection activeCell="T23" sqref="T23"/>
    </sheetView>
  </sheetViews>
  <sheetFormatPr defaultRowHeight="14.5" x14ac:dyDescent="0.35"/>
  <cols>
    <col min="1" max="16384" width="8.7265625" style="34"/>
  </cols>
  <sheetData>
    <row r="2" spans="2:14" ht="14.5" customHeight="1" x14ac:dyDescent="0.6">
      <c r="B2" s="35"/>
      <c r="C2"/>
      <c r="D2"/>
      <c r="E2"/>
      <c r="F2"/>
      <c r="G2"/>
      <c r="H2"/>
      <c r="I2"/>
      <c r="J2"/>
      <c r="K2"/>
      <c r="L2"/>
      <c r="M2"/>
      <c r="N2"/>
    </row>
    <row r="3" spans="2:14" x14ac:dyDescent="0.35">
      <c r="B3"/>
      <c r="C3"/>
      <c r="D3"/>
      <c r="E3"/>
      <c r="F3"/>
      <c r="G3"/>
      <c r="H3"/>
      <c r="I3"/>
      <c r="J3"/>
      <c r="K3"/>
      <c r="L3"/>
      <c r="M3"/>
      <c r="N3"/>
    </row>
    <row r="5" spans="2:14" x14ac:dyDescent="0.35">
      <c r="B5" s="40"/>
      <c r="C5" s="40"/>
      <c r="D5" s="40"/>
      <c r="E5" s="37"/>
      <c r="F5" s="37"/>
      <c r="G5" s="37"/>
      <c r="H5" s="37"/>
      <c r="I5" s="37"/>
      <c r="J5" s="37"/>
      <c r="K5" s="37"/>
      <c r="L5" s="37"/>
      <c r="M5" s="37"/>
      <c r="N5" s="37"/>
    </row>
    <row r="6" spans="2:14" ht="14.5" customHeight="1" x14ac:dyDescent="0.5">
      <c r="B6" s="43"/>
      <c r="C6" s="41"/>
      <c r="D6" s="41"/>
      <c r="E6" s="38"/>
      <c r="F6" s="38"/>
      <c r="G6" s="38"/>
      <c r="H6" s="39"/>
      <c r="I6" s="39"/>
      <c r="J6" s="39"/>
      <c r="K6" s="36"/>
      <c r="L6" s="36"/>
      <c r="M6" s="36"/>
      <c r="N6" s="36"/>
    </row>
    <row r="7" spans="2:14" ht="14.5" customHeight="1" x14ac:dyDescent="0.5">
      <c r="B7" s="44"/>
      <c r="C7" s="41"/>
      <c r="D7" s="41"/>
      <c r="E7" s="38"/>
      <c r="F7" s="38"/>
      <c r="G7" s="38"/>
      <c r="H7" s="39"/>
      <c r="I7" s="39"/>
      <c r="J7" s="39"/>
      <c r="K7" s="36"/>
      <c r="L7" s="36"/>
      <c r="M7" s="36"/>
      <c r="N7" s="3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E440-8DA7-486A-AE80-7CBD5A639A90}">
  <dimension ref="A1:S106"/>
  <sheetViews>
    <sheetView zoomScaleNormal="100" workbookViewId="0">
      <pane ySplit="1" topLeftCell="A2" activePane="bottomLeft" state="frozen"/>
      <selection pane="bottomLeft" activeCell="B106" sqref="B106"/>
    </sheetView>
  </sheetViews>
  <sheetFormatPr defaultColWidth="8.6328125" defaultRowHeight="14.5" x14ac:dyDescent="0.35"/>
  <cols>
    <col min="1" max="1" width="12" customWidth="1"/>
    <col min="2" max="2" width="20" customWidth="1"/>
    <col min="3" max="3" width="26" customWidth="1"/>
    <col min="4" max="4" width="15" customWidth="1"/>
    <col min="5" max="5" width="17.453125" customWidth="1"/>
    <col min="6" max="6" width="12" customWidth="1"/>
    <col min="7" max="8" width="16" customWidth="1"/>
    <col min="9" max="9" width="15.7265625" style="19" customWidth="1"/>
    <col min="10" max="10" width="12.90625" style="30" customWidth="1"/>
    <col min="11" max="11" width="13.6328125" style="23" customWidth="1"/>
    <col min="12" max="12" width="15.6328125" style="27" customWidth="1"/>
    <col min="13" max="13" width="21.54296875" customWidth="1"/>
    <col min="14" max="14" width="20.90625" customWidth="1"/>
    <col min="15" max="15" width="17.08984375" style="15" customWidth="1"/>
    <col min="16" max="16" width="20.26953125" customWidth="1"/>
    <col min="17" max="17" width="23.26953125" customWidth="1"/>
    <col min="18" max="18" width="20.54296875" customWidth="1"/>
    <col min="19" max="19" width="14.7265625" customWidth="1"/>
  </cols>
  <sheetData>
    <row r="1" spans="1:19" x14ac:dyDescent="0.35">
      <c r="A1" s="1" t="s">
        <v>0</v>
      </c>
      <c r="B1" s="1" t="s">
        <v>1</v>
      </c>
      <c r="C1" s="1" t="s">
        <v>2</v>
      </c>
      <c r="D1" s="1" t="s">
        <v>3</v>
      </c>
      <c r="E1" s="1" t="s">
        <v>497</v>
      </c>
      <c r="F1" s="1" t="s">
        <v>4</v>
      </c>
      <c r="G1" s="1" t="s">
        <v>5</v>
      </c>
      <c r="H1" s="1" t="s">
        <v>6</v>
      </c>
      <c r="I1" s="16" t="s">
        <v>7</v>
      </c>
      <c r="J1" s="1" t="s">
        <v>8</v>
      </c>
      <c r="K1" s="20" t="s">
        <v>9</v>
      </c>
      <c r="L1" s="24" t="s">
        <v>10</v>
      </c>
      <c r="M1" s="1" t="s">
        <v>11</v>
      </c>
      <c r="N1" s="1" t="s">
        <v>12</v>
      </c>
      <c r="O1" s="12" t="s">
        <v>13</v>
      </c>
      <c r="P1" s="11" t="s">
        <v>498</v>
      </c>
      <c r="Q1" s="11" t="s">
        <v>499</v>
      </c>
      <c r="R1" s="11" t="s">
        <v>500</v>
      </c>
      <c r="S1" s="11" t="s">
        <v>501</v>
      </c>
    </row>
    <row r="2" spans="1:19" x14ac:dyDescent="0.35">
      <c r="A2" s="2" t="s">
        <v>91</v>
      </c>
      <c r="B2" s="2" t="str">
        <f>CLEAN(TRIM(Raw_Data!B13))</f>
        <v>Noor Farooq</v>
      </c>
      <c r="C2" s="2" t="s">
        <v>511</v>
      </c>
      <c r="D2" s="2" t="s">
        <v>94</v>
      </c>
      <c r="E2" s="2" t="str">
        <f t="shared" ref="E2:E33" si="0">SUBSTITUTE(SUBSTITUTE(D2,"-","")," ","")</f>
        <v>03122229110</v>
      </c>
      <c r="F2" s="2" t="str">
        <f>TRIM(PROPER(Raw_Data!E13))</f>
        <v>Faisalabad</v>
      </c>
      <c r="G2" s="2" t="str">
        <f>TRIM(PROPER(Raw_Data!F13))</f>
        <v>Headphones</v>
      </c>
      <c r="H2" s="2" t="str">
        <f>TRIM(PROPER(Raw_Data!G13))</f>
        <v>Electronics</v>
      </c>
      <c r="I2" s="17">
        <v>46249</v>
      </c>
      <c r="J2" s="28">
        <v>5</v>
      </c>
      <c r="K2" s="21">
        <v>120000</v>
      </c>
      <c r="L2" s="25">
        <f t="shared" ref="L2:L33" si="1">J2*K2</f>
        <v>600000</v>
      </c>
      <c r="M2" s="2" t="s">
        <v>496</v>
      </c>
      <c r="N2" s="2" t="s">
        <v>90</v>
      </c>
      <c r="O2" s="13">
        <v>46253</v>
      </c>
      <c r="P2" t="str">
        <f t="shared" ref="P2:P33" si="2">LEFT(A2,3)</f>
        <v>ORD</v>
      </c>
      <c r="Q2" t="str">
        <f t="shared" ref="Q2:Q33" si="3">RIGHT(A2,4)</f>
        <v>1012</v>
      </c>
      <c r="R2">
        <f t="shared" ref="R2:R33" si="4">FIND("-",A2)</f>
        <v>4</v>
      </c>
      <c r="S2" t="str">
        <f t="shared" ref="S2:S33" si="5">MID(A2,FIND("-",A2)+1,4)</f>
        <v>1012</v>
      </c>
    </row>
    <row r="3" spans="1:19" x14ac:dyDescent="0.35">
      <c r="A3" s="2" t="s">
        <v>154</v>
      </c>
      <c r="B3" s="2" t="str">
        <f>CLEAN(TRIM(Raw_Data!B25))</f>
        <v>Mahnoor Rana</v>
      </c>
      <c r="C3" s="2" t="s">
        <v>156</v>
      </c>
      <c r="D3" s="2" t="s">
        <v>157</v>
      </c>
      <c r="E3" s="2" t="str">
        <f t="shared" si="0"/>
        <v>03772921542</v>
      </c>
      <c r="F3" s="2" t="str">
        <f>TRIM(PROPER(Raw_Data!E25))</f>
        <v>Karachi</v>
      </c>
      <c r="G3" s="2" t="str">
        <f>TRIM(PROPER(Raw_Data!F25))</f>
        <v>Air Fryer</v>
      </c>
      <c r="H3" s="2" t="str">
        <f>TRIM(PROPER(Raw_Data!G25))</f>
        <v>Home Appliances</v>
      </c>
      <c r="I3" s="17">
        <v>46216</v>
      </c>
      <c r="J3" s="28">
        <v>5</v>
      </c>
      <c r="K3" s="21">
        <v>120000</v>
      </c>
      <c r="L3" s="25">
        <f t="shared" si="1"/>
        <v>600000</v>
      </c>
      <c r="M3" s="2" t="s">
        <v>28</v>
      </c>
      <c r="N3" s="2" t="s">
        <v>90</v>
      </c>
      <c r="O3" s="13">
        <v>46218</v>
      </c>
      <c r="P3" t="str">
        <f t="shared" si="2"/>
        <v>ORD</v>
      </c>
      <c r="Q3" t="str">
        <f t="shared" si="3"/>
        <v>1024</v>
      </c>
      <c r="R3">
        <f t="shared" si="4"/>
        <v>4</v>
      </c>
      <c r="S3" t="str">
        <f t="shared" si="5"/>
        <v>1024</v>
      </c>
    </row>
    <row r="4" spans="1:19" x14ac:dyDescent="0.35">
      <c r="A4" s="2" t="s">
        <v>160</v>
      </c>
      <c r="B4" s="2" t="str">
        <f>CLEAN(TRIM(Raw_Data!B26))</f>
        <v>Umar Malik</v>
      </c>
      <c r="C4" s="2" t="s">
        <v>162</v>
      </c>
      <c r="D4" s="2" t="s">
        <v>163</v>
      </c>
      <c r="E4" s="2" t="str">
        <f t="shared" si="0"/>
        <v>03646724909</v>
      </c>
      <c r="F4" s="2" t="str">
        <f>TRIM(PROPER(Raw_Data!E26))</f>
        <v>Sialkot</v>
      </c>
      <c r="G4" s="2" t="str">
        <f>TRIM(PROPER(Raw_Data!F26))</f>
        <v>Jacket</v>
      </c>
      <c r="H4" s="2" t="str">
        <f>TRIM(PROPER(Raw_Data!G26))</f>
        <v>Apparel</v>
      </c>
      <c r="I4" s="17">
        <v>46215</v>
      </c>
      <c r="J4" s="28">
        <v>5</v>
      </c>
      <c r="K4" s="21">
        <v>120000</v>
      </c>
      <c r="L4" s="25">
        <f t="shared" si="1"/>
        <v>600000</v>
      </c>
      <c r="M4" s="2" t="s">
        <v>28</v>
      </c>
      <c r="N4" s="2" t="s">
        <v>515</v>
      </c>
      <c r="O4" s="13">
        <v>46222</v>
      </c>
      <c r="P4" t="str">
        <f t="shared" si="2"/>
        <v>ORD</v>
      </c>
      <c r="Q4" t="str">
        <f t="shared" si="3"/>
        <v>1025</v>
      </c>
      <c r="R4">
        <f t="shared" si="4"/>
        <v>4</v>
      </c>
      <c r="S4" t="str">
        <f t="shared" si="5"/>
        <v>1025</v>
      </c>
    </row>
    <row r="5" spans="1:19" x14ac:dyDescent="0.35">
      <c r="A5" s="2" t="s">
        <v>286</v>
      </c>
      <c r="B5" s="2" t="str">
        <f>CLEAN(TRIM(Raw_Data!B52))</f>
        <v>Faisal Iqbal</v>
      </c>
      <c r="C5" s="2" t="s">
        <v>288</v>
      </c>
      <c r="D5" s="2" t="s">
        <v>289</v>
      </c>
      <c r="E5" s="2" t="str">
        <f t="shared" si="0"/>
        <v>03734794319</v>
      </c>
      <c r="F5" s="2" t="s">
        <v>495</v>
      </c>
      <c r="G5" s="2" t="str">
        <f>TRIM(PROPER(Raw_Data!F52))</f>
        <v>Bookshelf</v>
      </c>
      <c r="H5" s="2" t="s">
        <v>45</v>
      </c>
      <c r="I5" s="17">
        <v>46215</v>
      </c>
      <c r="J5" s="28">
        <v>5</v>
      </c>
      <c r="K5" s="21">
        <v>120000</v>
      </c>
      <c r="L5" s="25">
        <f t="shared" si="1"/>
        <v>600000</v>
      </c>
      <c r="M5" s="2" t="s">
        <v>46</v>
      </c>
      <c r="N5" s="2" t="s">
        <v>90</v>
      </c>
      <c r="O5" s="13">
        <v>46218</v>
      </c>
      <c r="P5" t="str">
        <f t="shared" si="2"/>
        <v>ORD</v>
      </c>
      <c r="Q5" t="str">
        <f t="shared" si="3"/>
        <v>1049</v>
      </c>
      <c r="R5">
        <f t="shared" si="4"/>
        <v>4</v>
      </c>
      <c r="S5" t="str">
        <f t="shared" si="5"/>
        <v>1049</v>
      </c>
    </row>
    <row r="6" spans="1:19" x14ac:dyDescent="0.35">
      <c r="A6" s="2" t="s">
        <v>417</v>
      </c>
      <c r="B6" s="2" t="str">
        <f>CLEAN(TRIM(Raw_Data!B85))</f>
        <v>Umar Malik</v>
      </c>
      <c r="C6" s="2" t="s">
        <v>418</v>
      </c>
      <c r="D6" s="2" t="s">
        <v>419</v>
      </c>
      <c r="E6" s="2" t="str">
        <f t="shared" si="0"/>
        <v>03633251501</v>
      </c>
      <c r="F6" s="2" t="str">
        <f>TRIM(PROPER(Raw_Data!E85))</f>
        <v>Rawalpindi</v>
      </c>
      <c r="G6" s="2" t="str">
        <f>TRIM(PROPER(Raw_Data!F85))</f>
        <v>Wrist Watch</v>
      </c>
      <c r="H6" s="2" t="s">
        <v>77</v>
      </c>
      <c r="I6" s="17">
        <v>46254</v>
      </c>
      <c r="J6" s="28">
        <v>5</v>
      </c>
      <c r="K6" s="21">
        <v>120000</v>
      </c>
      <c r="L6" s="25">
        <f t="shared" si="1"/>
        <v>600000</v>
      </c>
      <c r="M6" s="2" t="s">
        <v>28</v>
      </c>
      <c r="N6" s="2" t="s">
        <v>90</v>
      </c>
      <c r="O6" s="13">
        <v>46258</v>
      </c>
      <c r="P6" t="str">
        <f t="shared" si="2"/>
        <v>ORD</v>
      </c>
      <c r="Q6" t="str">
        <f t="shared" si="3"/>
        <v>1080</v>
      </c>
      <c r="R6">
        <f t="shared" si="4"/>
        <v>4</v>
      </c>
      <c r="S6" t="str">
        <f t="shared" si="5"/>
        <v>1080</v>
      </c>
    </row>
    <row r="7" spans="1:19" x14ac:dyDescent="0.35">
      <c r="A7" s="2" t="s">
        <v>119</v>
      </c>
      <c r="B7" s="2" t="str">
        <f>CLEAN(TRIM(Raw_Data!B18))</f>
        <v>Anum Siddiqui</v>
      </c>
      <c r="C7" s="2" t="s">
        <v>508</v>
      </c>
      <c r="D7" s="2" t="s">
        <v>122</v>
      </c>
      <c r="E7" s="2" t="str">
        <f t="shared" si="0"/>
        <v>03426266630</v>
      </c>
      <c r="F7" s="2" t="str">
        <f>TRIM(PROPER(Raw_Data!E18))</f>
        <v>Faisalabad</v>
      </c>
      <c r="G7" s="2" t="str">
        <f>TRIM(PROPER(Raw_Data!F18))</f>
        <v>Sunglasses</v>
      </c>
      <c r="H7" s="2" t="str">
        <f>TRIM(PROPER(Raw_Data!G18))</f>
        <v>Accessories</v>
      </c>
      <c r="I7" s="17">
        <v>46230</v>
      </c>
      <c r="J7" s="28">
        <v>4</v>
      </c>
      <c r="K7" s="21">
        <v>120000</v>
      </c>
      <c r="L7" s="25">
        <f t="shared" si="1"/>
        <v>480000</v>
      </c>
      <c r="M7" s="2" t="s">
        <v>20</v>
      </c>
      <c r="N7" s="2" t="s">
        <v>29</v>
      </c>
      <c r="O7" s="13">
        <v>46237</v>
      </c>
      <c r="P7" t="str">
        <f t="shared" si="2"/>
        <v>ORD</v>
      </c>
      <c r="Q7" t="str">
        <f t="shared" si="3"/>
        <v>1017</v>
      </c>
      <c r="R7">
        <f t="shared" si="4"/>
        <v>4</v>
      </c>
      <c r="S7" t="str">
        <f t="shared" si="5"/>
        <v>1017</v>
      </c>
    </row>
    <row r="8" spans="1:19" x14ac:dyDescent="0.35">
      <c r="A8" s="2" t="s">
        <v>428</v>
      </c>
      <c r="B8" s="2" t="str">
        <f>CLEAN(TRIM(Raw_Data!B88))</f>
        <v>Naveed Malik</v>
      </c>
      <c r="C8" s="2" t="s">
        <v>430</v>
      </c>
      <c r="D8" s="2" t="s">
        <v>431</v>
      </c>
      <c r="E8" s="2" t="str">
        <f t="shared" si="0"/>
        <v>03668412854</v>
      </c>
      <c r="F8" s="2" t="str">
        <f>TRIM(PROPER(Raw_Data!E88))</f>
        <v>Sialkot</v>
      </c>
      <c r="G8" s="2" t="str">
        <f>TRIM(PROPER(Raw_Data!F88))</f>
        <v>Wrist Watch</v>
      </c>
      <c r="H8" s="2" t="s">
        <v>77</v>
      </c>
      <c r="I8" s="17">
        <v>46207</v>
      </c>
      <c r="J8" s="28">
        <v>4</v>
      </c>
      <c r="K8" s="21">
        <v>120000</v>
      </c>
      <c r="L8" s="25">
        <f t="shared" si="1"/>
        <v>480000</v>
      </c>
      <c r="M8" s="2" t="s">
        <v>28</v>
      </c>
      <c r="N8" s="2" t="s">
        <v>515</v>
      </c>
      <c r="O8" s="13">
        <v>46213</v>
      </c>
      <c r="P8" t="str">
        <f t="shared" si="2"/>
        <v>ORD</v>
      </c>
      <c r="Q8" t="str">
        <f t="shared" si="3"/>
        <v>1083</v>
      </c>
      <c r="R8">
        <f t="shared" si="4"/>
        <v>4</v>
      </c>
      <c r="S8" t="str">
        <f t="shared" si="5"/>
        <v>1083</v>
      </c>
    </row>
    <row r="9" spans="1:19" x14ac:dyDescent="0.35">
      <c r="A9" s="2" t="s">
        <v>452</v>
      </c>
      <c r="B9" s="2" t="str">
        <f>CLEAN(TRIM(Raw_Data!B96))</f>
        <v>Danish Abbasi</v>
      </c>
      <c r="C9" s="2" t="s">
        <v>454</v>
      </c>
      <c r="D9" s="2" t="s">
        <v>455</v>
      </c>
      <c r="E9" s="2" t="str">
        <f t="shared" si="0"/>
        <v>03851813936</v>
      </c>
      <c r="F9" s="2" t="str">
        <f>TRIM(PROPER(Raw_Data!E96))</f>
        <v>Rawalpindi</v>
      </c>
      <c r="G9" s="2" t="str">
        <f>TRIM(PROPER(Raw_Data!F96))</f>
        <v>Laptop</v>
      </c>
      <c r="H9" s="2" t="s">
        <v>95</v>
      </c>
      <c r="I9" s="17">
        <v>46246</v>
      </c>
      <c r="J9" s="28">
        <v>4</v>
      </c>
      <c r="K9" s="21">
        <v>120000</v>
      </c>
      <c r="L9" s="25">
        <f t="shared" si="1"/>
        <v>480000</v>
      </c>
      <c r="M9" s="2" t="s">
        <v>496</v>
      </c>
      <c r="N9" s="2" t="s">
        <v>515</v>
      </c>
      <c r="O9" s="13">
        <v>46252</v>
      </c>
      <c r="P9" t="str">
        <f t="shared" si="2"/>
        <v>ORD</v>
      </c>
      <c r="Q9" t="str">
        <f t="shared" si="3"/>
        <v>1091</v>
      </c>
      <c r="R9">
        <f t="shared" si="4"/>
        <v>4</v>
      </c>
      <c r="S9" t="str">
        <f t="shared" si="5"/>
        <v>1091</v>
      </c>
    </row>
    <row r="10" spans="1:19" x14ac:dyDescent="0.35">
      <c r="A10" s="2" t="s">
        <v>187</v>
      </c>
      <c r="B10" s="2" t="str">
        <f>CLEAN(TRIM(Raw_Data!B31))</f>
        <v>Ali Rana</v>
      </c>
      <c r="C10" s="2" t="s">
        <v>189</v>
      </c>
      <c r="D10" s="2" t="s">
        <v>190</v>
      </c>
      <c r="E10" s="2" t="str">
        <f t="shared" si="0"/>
        <v>03612914064</v>
      </c>
      <c r="F10" s="2" t="str">
        <f>TRIM(PROPER(Raw_Data!E31))</f>
        <v>Karachi</v>
      </c>
      <c r="G10" s="2" t="str">
        <f>TRIM(PROPER(Raw_Data!F31))</f>
        <v>Air Fryer</v>
      </c>
      <c r="H10" s="2" t="str">
        <f>TRIM(PROPER(Raw_Data!G31))</f>
        <v>Home Appliances</v>
      </c>
      <c r="I10" s="17">
        <v>46230</v>
      </c>
      <c r="J10" s="28">
        <v>5</v>
      </c>
      <c r="K10" s="21">
        <v>85000</v>
      </c>
      <c r="L10" s="25">
        <f t="shared" si="1"/>
        <v>425000</v>
      </c>
      <c r="M10" s="2" t="s">
        <v>28</v>
      </c>
      <c r="N10" s="2" t="s">
        <v>515</v>
      </c>
      <c r="O10" s="13">
        <v>46236</v>
      </c>
      <c r="P10" t="str">
        <f t="shared" si="2"/>
        <v>ORD</v>
      </c>
      <c r="Q10" t="str">
        <f t="shared" si="3"/>
        <v>1029</v>
      </c>
      <c r="R10">
        <f t="shared" si="4"/>
        <v>4</v>
      </c>
      <c r="S10" t="str">
        <f t="shared" si="5"/>
        <v>1029</v>
      </c>
    </row>
    <row r="11" spans="1:19" x14ac:dyDescent="0.35">
      <c r="A11" s="2" t="s">
        <v>340</v>
      </c>
      <c r="B11" s="2" t="str">
        <f>CLEAN(TRIM(Raw_Data!B64))</f>
        <v>Zainab Javed</v>
      </c>
      <c r="C11" s="2" t="s">
        <v>342</v>
      </c>
      <c r="D11" s="2" t="s">
        <v>343</v>
      </c>
      <c r="E11" s="2" t="str">
        <f t="shared" si="0"/>
        <v>03183308538</v>
      </c>
      <c r="F11" s="2" t="str">
        <f>TRIM(PROPER(Raw_Data!E64))</f>
        <v>Sialkot</v>
      </c>
      <c r="G11" s="2" t="str">
        <f>TRIM(PROPER(Raw_Data!F64))</f>
        <v>Blender</v>
      </c>
      <c r="H11" s="2" t="s">
        <v>27</v>
      </c>
      <c r="I11" s="17">
        <v>46217</v>
      </c>
      <c r="J11" s="28">
        <v>5</v>
      </c>
      <c r="K11" s="21">
        <v>85000</v>
      </c>
      <c r="L11" s="25">
        <f t="shared" si="1"/>
        <v>425000</v>
      </c>
      <c r="M11" s="2" t="s">
        <v>102</v>
      </c>
      <c r="N11" s="2" t="s">
        <v>90</v>
      </c>
      <c r="O11" s="13">
        <v>46220</v>
      </c>
      <c r="P11" t="str">
        <f t="shared" si="2"/>
        <v>ORD</v>
      </c>
      <c r="Q11" t="str">
        <f t="shared" si="3"/>
        <v>1060</v>
      </c>
      <c r="R11">
        <f t="shared" si="4"/>
        <v>4</v>
      </c>
      <c r="S11" t="str">
        <f t="shared" si="5"/>
        <v>1060</v>
      </c>
    </row>
    <row r="12" spans="1:19" x14ac:dyDescent="0.35">
      <c r="A12" s="2" t="s">
        <v>30</v>
      </c>
      <c r="B12" s="2" t="str">
        <f>CLEAN(TRIM(Raw_Data!B4))</f>
        <v>Waqas Ali</v>
      </c>
      <c r="C12" s="2" t="s">
        <v>32</v>
      </c>
      <c r="D12" s="2" t="s">
        <v>33</v>
      </c>
      <c r="E12" s="2" t="str">
        <f t="shared" si="0"/>
        <v>03207210606</v>
      </c>
      <c r="F12" s="2" t="str">
        <f>TRIM(PROPER(Raw_Data!E4))</f>
        <v>Faisalabad</v>
      </c>
      <c r="G12" s="2" t="str">
        <f>TRIM(PROPER(Raw_Data!F4))</f>
        <v>Headphones</v>
      </c>
      <c r="H12" s="2" t="str">
        <f>TRIM(PROPER(Raw_Data!G4))</f>
        <v>Electronics</v>
      </c>
      <c r="I12" s="17">
        <v>46233</v>
      </c>
      <c r="J12" s="28">
        <v>3</v>
      </c>
      <c r="K12" s="21">
        <v>120000</v>
      </c>
      <c r="L12" s="25">
        <f t="shared" si="1"/>
        <v>360000</v>
      </c>
      <c r="M12" s="2" t="s">
        <v>102</v>
      </c>
      <c r="N12" s="2" t="s">
        <v>29</v>
      </c>
      <c r="O12" s="13">
        <v>46238</v>
      </c>
      <c r="P12" t="str">
        <f t="shared" si="2"/>
        <v>ORD</v>
      </c>
      <c r="Q12" t="str">
        <f t="shared" si="3"/>
        <v>1003</v>
      </c>
      <c r="R12">
        <f t="shared" si="4"/>
        <v>4</v>
      </c>
      <c r="S12" t="str">
        <f t="shared" si="5"/>
        <v>1003</v>
      </c>
    </row>
    <row r="13" spans="1:19" x14ac:dyDescent="0.35">
      <c r="A13" s="2" t="s">
        <v>228</v>
      </c>
      <c r="B13" s="2" t="str">
        <f>CLEAN(TRIM(Raw_Data!B39))</f>
        <v>Usman Baig</v>
      </c>
      <c r="C13" s="2" t="s">
        <v>230</v>
      </c>
      <c r="D13" s="2" t="s">
        <v>231</v>
      </c>
      <c r="E13" s="2" t="str">
        <f t="shared" si="0"/>
        <v>03192255409</v>
      </c>
      <c r="F13" s="2" t="str">
        <f>TRIM(PROPER(Raw_Data!E39))</f>
        <v>Faisalabad</v>
      </c>
      <c r="G13" s="2" t="str">
        <f>TRIM(PROPER(Raw_Data!F39))</f>
        <v>Handbag</v>
      </c>
      <c r="H13" s="2" t="str">
        <f>TRIM(PROPER(Raw_Data!G39))</f>
        <v>Accessories</v>
      </c>
      <c r="I13" s="17">
        <v>46238</v>
      </c>
      <c r="J13" s="28">
        <v>3</v>
      </c>
      <c r="K13" s="21">
        <v>120000</v>
      </c>
      <c r="L13" s="25">
        <f t="shared" si="1"/>
        <v>360000</v>
      </c>
      <c r="M13" s="2" t="s">
        <v>102</v>
      </c>
      <c r="N13" s="2" t="s">
        <v>29</v>
      </c>
      <c r="O13" s="13">
        <v>46243</v>
      </c>
      <c r="P13" t="str">
        <f t="shared" si="2"/>
        <v>ORD</v>
      </c>
      <c r="Q13" t="str">
        <f t="shared" si="3"/>
        <v>1037</v>
      </c>
      <c r="R13">
        <f t="shared" si="4"/>
        <v>4</v>
      </c>
      <c r="S13" t="str">
        <f t="shared" si="5"/>
        <v>1037</v>
      </c>
    </row>
    <row r="14" spans="1:19" x14ac:dyDescent="0.35">
      <c r="A14" s="2" t="s">
        <v>114</v>
      </c>
      <c r="B14" s="2" t="str">
        <f>CLEAN(TRIM(Raw_Data!B17))</f>
        <v>Rabia Javed</v>
      </c>
      <c r="C14" s="2" t="s">
        <v>116</v>
      </c>
      <c r="D14" s="2" t="s">
        <v>117</v>
      </c>
      <c r="E14" s="2" t="str">
        <f t="shared" si="0"/>
        <v>03032935113</v>
      </c>
      <c r="F14" s="2" t="str">
        <f>TRIM(PROPER(Raw_Data!E17))</f>
        <v>Faisalabad</v>
      </c>
      <c r="G14" s="2" t="str">
        <f>TRIM(PROPER(Raw_Data!F17))</f>
        <v>Sunglasses</v>
      </c>
      <c r="H14" s="2" t="str">
        <f>TRIM(PROPER(Raw_Data!G17))</f>
        <v>Accessories</v>
      </c>
      <c r="I14" s="17">
        <v>46236</v>
      </c>
      <c r="J14" s="28">
        <v>4</v>
      </c>
      <c r="K14" s="21">
        <v>85000</v>
      </c>
      <c r="L14" s="25">
        <f t="shared" si="1"/>
        <v>340000</v>
      </c>
      <c r="M14" s="2" t="s">
        <v>28</v>
      </c>
      <c r="N14" s="2" t="s">
        <v>90</v>
      </c>
      <c r="O14" s="13">
        <v>46238</v>
      </c>
      <c r="P14" t="str">
        <f t="shared" si="2"/>
        <v>ORD</v>
      </c>
      <c r="Q14" t="str">
        <f t="shared" si="3"/>
        <v>1016</v>
      </c>
      <c r="R14">
        <f t="shared" si="4"/>
        <v>4</v>
      </c>
      <c r="S14" t="str">
        <f t="shared" si="5"/>
        <v>1016</v>
      </c>
    </row>
    <row r="15" spans="1:19" x14ac:dyDescent="0.35">
      <c r="A15" s="2" t="s">
        <v>255</v>
      </c>
      <c r="B15" s="2" t="str">
        <f>CLEAN(TRIM(Raw_Data!B45))</f>
        <v>Hira Qureshi</v>
      </c>
      <c r="C15" s="2" t="s">
        <v>257</v>
      </c>
      <c r="D15" s="2" t="s">
        <v>258</v>
      </c>
      <c r="E15" s="2" t="str">
        <f t="shared" si="0"/>
        <v>03124939290</v>
      </c>
      <c r="F15" s="2" t="str">
        <f>TRIM(PROPER(Raw_Data!E45))</f>
        <v>Sialkot</v>
      </c>
      <c r="G15" s="2" t="str">
        <f>TRIM(PROPER(Raw_Data!F45))</f>
        <v>Vacuum Cleaner</v>
      </c>
      <c r="H15" s="2" t="str">
        <f>TRIM(PROPER(Raw_Data!G45))</f>
        <v>Home Appliances</v>
      </c>
      <c r="I15" s="17">
        <v>46245</v>
      </c>
      <c r="J15" s="28">
        <v>4</v>
      </c>
      <c r="K15" s="21">
        <v>85000</v>
      </c>
      <c r="L15" s="25">
        <f t="shared" si="1"/>
        <v>340000</v>
      </c>
      <c r="M15" s="2" t="s">
        <v>46</v>
      </c>
      <c r="N15" s="2" t="s">
        <v>495</v>
      </c>
      <c r="O15" s="13">
        <v>46247</v>
      </c>
      <c r="P15" t="str">
        <f t="shared" si="2"/>
        <v>ORD</v>
      </c>
      <c r="Q15" t="str">
        <f t="shared" si="3"/>
        <v>1043</v>
      </c>
      <c r="R15">
        <f t="shared" si="4"/>
        <v>4</v>
      </c>
      <c r="S15" t="str">
        <f t="shared" si="5"/>
        <v>1043</v>
      </c>
    </row>
    <row r="16" spans="1:19" x14ac:dyDescent="0.35">
      <c r="A16" s="2" t="s">
        <v>358</v>
      </c>
      <c r="B16" s="2" t="str">
        <f>CLEAN(TRIM(Raw_Data!B68))</f>
        <v>Imran Farooq</v>
      </c>
      <c r="C16" s="2" t="s">
        <v>360</v>
      </c>
      <c r="D16" s="2" t="s">
        <v>361</v>
      </c>
      <c r="E16" s="2" t="str">
        <f t="shared" si="0"/>
        <v>03342385991</v>
      </c>
      <c r="F16" s="2" t="str">
        <f>TRIM(PROPER(Raw_Data!E68))</f>
        <v>Peshawar</v>
      </c>
      <c r="G16" s="2" t="str">
        <f>TRIM(PROPER(Raw_Data!F68))</f>
        <v>Office Chair</v>
      </c>
      <c r="H16" s="2" t="s">
        <v>45</v>
      </c>
      <c r="I16" s="17">
        <v>46222</v>
      </c>
      <c r="J16" s="28">
        <v>4</v>
      </c>
      <c r="K16" s="21">
        <v>85000</v>
      </c>
      <c r="L16" s="25">
        <f t="shared" si="1"/>
        <v>340000</v>
      </c>
      <c r="M16" s="2" t="s">
        <v>46</v>
      </c>
      <c r="N16" s="2" t="s">
        <v>515</v>
      </c>
      <c r="O16" s="13">
        <v>46226</v>
      </c>
      <c r="P16" t="str">
        <f t="shared" si="2"/>
        <v>ORD</v>
      </c>
      <c r="Q16" t="str">
        <f t="shared" si="3"/>
        <v>1064</v>
      </c>
      <c r="R16">
        <f t="shared" si="4"/>
        <v>4</v>
      </c>
      <c r="S16" t="str">
        <f t="shared" si="5"/>
        <v>1064</v>
      </c>
    </row>
    <row r="17" spans="1:19" x14ac:dyDescent="0.35">
      <c r="A17" s="2" t="s">
        <v>396</v>
      </c>
      <c r="B17" s="2" t="str">
        <f>CLEAN(TRIM(Raw_Data!B79))</f>
        <v>Hamza Ahmed</v>
      </c>
      <c r="C17" s="2" t="s">
        <v>398</v>
      </c>
      <c r="D17" s="2" t="s">
        <v>399</v>
      </c>
      <c r="E17" s="2" t="str">
        <f t="shared" si="0"/>
        <v>03653345135</v>
      </c>
      <c r="F17" s="2" t="str">
        <f>TRIM(PROPER(Raw_Data!E79))</f>
        <v>Multan</v>
      </c>
      <c r="G17" s="2" t="str">
        <f>TRIM(PROPER(Raw_Data!F79))</f>
        <v>Water Dispenser</v>
      </c>
      <c r="H17" s="2" t="s">
        <v>27</v>
      </c>
      <c r="I17" s="17">
        <v>46236</v>
      </c>
      <c r="J17" s="28">
        <v>4</v>
      </c>
      <c r="K17" s="21">
        <v>85000</v>
      </c>
      <c r="L17" s="25">
        <f t="shared" si="1"/>
        <v>340000</v>
      </c>
      <c r="M17" s="2" t="s">
        <v>28</v>
      </c>
      <c r="N17" s="2" t="s">
        <v>29</v>
      </c>
      <c r="O17" s="13">
        <v>46242</v>
      </c>
      <c r="P17" t="str">
        <f t="shared" si="2"/>
        <v>ORD</v>
      </c>
      <c r="Q17" t="str">
        <f t="shared" si="3"/>
        <v>1074</v>
      </c>
      <c r="R17">
        <f t="shared" si="4"/>
        <v>4</v>
      </c>
      <c r="S17" t="str">
        <f t="shared" si="5"/>
        <v>1074</v>
      </c>
    </row>
    <row r="18" spans="1:19" x14ac:dyDescent="0.35">
      <c r="A18" s="2" t="s">
        <v>477</v>
      </c>
      <c r="B18" s="2" t="str">
        <f>CLEAN(TRIM(Raw_Data!B102))</f>
        <v>Zainab Siddiqui</v>
      </c>
      <c r="C18" s="2" t="s">
        <v>479</v>
      </c>
      <c r="D18" s="2" t="s">
        <v>480</v>
      </c>
      <c r="E18" s="2" t="str">
        <f t="shared" si="0"/>
        <v>03175511711</v>
      </c>
      <c r="F18" s="2" t="str">
        <f>TRIM(PROPER(Raw_Data!E102))</f>
        <v>Islamabad</v>
      </c>
      <c r="G18" s="2" t="str">
        <f>TRIM(PROPER(Raw_Data!F102))</f>
        <v>Bookshelf</v>
      </c>
      <c r="H18" s="2" t="s">
        <v>45</v>
      </c>
      <c r="I18" s="17">
        <v>46219</v>
      </c>
      <c r="J18" s="28">
        <v>4</v>
      </c>
      <c r="K18" s="21">
        <v>85000</v>
      </c>
      <c r="L18" s="25">
        <f t="shared" si="1"/>
        <v>340000</v>
      </c>
      <c r="M18" s="2" t="s">
        <v>20</v>
      </c>
      <c r="N18" s="2" t="s">
        <v>29</v>
      </c>
      <c r="O18" s="13">
        <v>46226</v>
      </c>
      <c r="P18" t="str">
        <f t="shared" si="2"/>
        <v>ORD</v>
      </c>
      <c r="Q18" t="str">
        <f t="shared" si="3"/>
        <v>1097</v>
      </c>
      <c r="R18">
        <f t="shared" si="4"/>
        <v>4</v>
      </c>
      <c r="S18" t="str">
        <f t="shared" si="5"/>
        <v>1097</v>
      </c>
    </row>
    <row r="19" spans="1:19" x14ac:dyDescent="0.35">
      <c r="A19" s="2" t="s">
        <v>332</v>
      </c>
      <c r="B19" s="2" t="str">
        <f>CLEAN(TRIM(Raw_Data!B62))</f>
        <v>Warda Sheikh</v>
      </c>
      <c r="C19" s="2" t="s">
        <v>334</v>
      </c>
      <c r="D19" s="2" t="s">
        <v>335</v>
      </c>
      <c r="E19" s="2" t="str">
        <f t="shared" si="0"/>
        <v>03565780297</v>
      </c>
      <c r="F19" s="2" t="str">
        <f>TRIM(PROPER(Raw_Data!E62))</f>
        <v>Rawalpindi</v>
      </c>
      <c r="G19" s="2" t="str">
        <f>TRIM(PROPER(Raw_Data!F62))</f>
        <v>Blender</v>
      </c>
      <c r="H19" s="2" t="s">
        <v>27</v>
      </c>
      <c r="I19" s="17">
        <v>46233</v>
      </c>
      <c r="J19" s="28">
        <v>4</v>
      </c>
      <c r="K19" s="21">
        <v>65000</v>
      </c>
      <c r="L19" s="25">
        <f t="shared" si="1"/>
        <v>260000</v>
      </c>
      <c r="M19" s="2" t="s">
        <v>102</v>
      </c>
      <c r="N19" s="2" t="s">
        <v>29</v>
      </c>
      <c r="O19" s="13">
        <v>46237</v>
      </c>
      <c r="P19" t="str">
        <f t="shared" si="2"/>
        <v>ORD</v>
      </c>
      <c r="Q19" t="str">
        <f t="shared" si="3"/>
        <v>1058</v>
      </c>
      <c r="R19">
        <f t="shared" si="4"/>
        <v>4</v>
      </c>
      <c r="S19" t="str">
        <f t="shared" si="5"/>
        <v>1058</v>
      </c>
    </row>
    <row r="20" spans="1:19" x14ac:dyDescent="0.35">
      <c r="A20" s="2" t="s">
        <v>375</v>
      </c>
      <c r="B20" s="2" t="str">
        <f>CLEAN(TRIM(Raw_Data!B72))</f>
        <v>Zainab Ali</v>
      </c>
      <c r="C20" s="2" t="s">
        <v>377</v>
      </c>
      <c r="D20" s="2" t="s">
        <v>378</v>
      </c>
      <c r="E20" s="2" t="str">
        <f t="shared" si="0"/>
        <v>03093102634</v>
      </c>
      <c r="F20" s="2" t="str">
        <f>TRIM(PROPER(Raw_Data!E72))</f>
        <v>Sialkot</v>
      </c>
      <c r="G20" s="2" t="str">
        <f>TRIM(PROPER(Raw_Data!F72))</f>
        <v>Jacket</v>
      </c>
      <c r="H20" s="2" t="s">
        <v>171</v>
      </c>
      <c r="I20" s="17">
        <v>46215</v>
      </c>
      <c r="J20" s="28">
        <v>4</v>
      </c>
      <c r="K20" s="21">
        <v>65000</v>
      </c>
      <c r="L20" s="25">
        <f t="shared" si="1"/>
        <v>260000</v>
      </c>
      <c r="M20" s="2" t="s">
        <v>20</v>
      </c>
      <c r="N20" s="2" t="s">
        <v>515</v>
      </c>
      <c r="O20" s="13">
        <v>46218</v>
      </c>
      <c r="P20" t="str">
        <f t="shared" si="2"/>
        <v>ORD</v>
      </c>
      <c r="Q20" t="str">
        <f t="shared" si="3"/>
        <v>1068</v>
      </c>
      <c r="R20">
        <f t="shared" si="4"/>
        <v>4</v>
      </c>
      <c r="S20" t="str">
        <f t="shared" si="5"/>
        <v>1068</v>
      </c>
    </row>
    <row r="21" spans="1:19" x14ac:dyDescent="0.35">
      <c r="A21" s="2" t="s">
        <v>21</v>
      </c>
      <c r="B21" s="2" t="str">
        <f>CLEAN(TRIM(Raw_Data!B3))</f>
        <v>Fahad Qureshi</v>
      </c>
      <c r="C21" s="2" t="s">
        <v>23</v>
      </c>
      <c r="D21" s="2" t="s">
        <v>24</v>
      </c>
      <c r="E21" s="2" t="str">
        <f t="shared" si="0"/>
        <v>03482622631</v>
      </c>
      <c r="F21" s="2" t="str">
        <f>TRIM(PROPER(Raw_Data!E3))</f>
        <v>Faisalabad</v>
      </c>
      <c r="G21" s="2" t="str">
        <f>TRIM(PROPER(Raw_Data!F3))</f>
        <v>Vacuum Cleaner</v>
      </c>
      <c r="H21" s="2" t="str">
        <f>TRIM(PROPER(Raw_Data!G3))</f>
        <v>Home Appliances</v>
      </c>
      <c r="I21" s="17">
        <v>46244</v>
      </c>
      <c r="J21" s="28">
        <v>3</v>
      </c>
      <c r="K21" s="21">
        <v>85000</v>
      </c>
      <c r="L21" s="25">
        <f t="shared" si="1"/>
        <v>255000</v>
      </c>
      <c r="M21" s="2" t="s">
        <v>28</v>
      </c>
      <c r="N21" s="2" t="s">
        <v>29</v>
      </c>
      <c r="O21" s="13">
        <v>46250</v>
      </c>
      <c r="P21" t="str">
        <f t="shared" si="2"/>
        <v>ORD</v>
      </c>
      <c r="Q21" t="str">
        <f t="shared" si="3"/>
        <v>1002</v>
      </c>
      <c r="R21">
        <f t="shared" si="4"/>
        <v>4</v>
      </c>
      <c r="S21" t="str">
        <f t="shared" si="5"/>
        <v>1002</v>
      </c>
    </row>
    <row r="22" spans="1:19" x14ac:dyDescent="0.35">
      <c r="A22" s="2" t="s">
        <v>219</v>
      </c>
      <c r="B22" s="2" t="str">
        <f>CLEAN(TRIM(Raw_Data!B37))</f>
        <v>Rabia Qureshi</v>
      </c>
      <c r="C22" s="2" t="s">
        <v>221</v>
      </c>
      <c r="D22" s="2" t="s">
        <v>222</v>
      </c>
      <c r="E22" s="2" t="str">
        <f t="shared" si="0"/>
        <v>03769526867</v>
      </c>
      <c r="F22" s="2" t="str">
        <f>TRIM(PROPER(Raw_Data!E37))</f>
        <v>Karachi</v>
      </c>
      <c r="G22" s="2" t="str">
        <f>TRIM(PROPER(Raw_Data!F37))</f>
        <v>Sunglasses</v>
      </c>
      <c r="H22" s="2" t="str">
        <f>TRIM(PROPER(Raw_Data!G37))</f>
        <v>Accessories</v>
      </c>
      <c r="I22" s="17">
        <v>46222</v>
      </c>
      <c r="J22" s="28">
        <v>3</v>
      </c>
      <c r="K22" s="21">
        <v>85000</v>
      </c>
      <c r="L22" s="25">
        <f t="shared" si="1"/>
        <v>255000</v>
      </c>
      <c r="M22" s="2" t="s">
        <v>20</v>
      </c>
      <c r="N22" s="2" t="s">
        <v>515</v>
      </c>
      <c r="O22" s="13">
        <v>46229</v>
      </c>
      <c r="P22" t="str">
        <f t="shared" si="2"/>
        <v>ORD</v>
      </c>
      <c r="Q22" t="str">
        <f t="shared" si="3"/>
        <v>1035</v>
      </c>
      <c r="R22">
        <f t="shared" si="4"/>
        <v>4</v>
      </c>
      <c r="S22" t="str">
        <f t="shared" si="5"/>
        <v>1035</v>
      </c>
    </row>
    <row r="23" spans="1:19" x14ac:dyDescent="0.35">
      <c r="A23" s="2" t="s">
        <v>328</v>
      </c>
      <c r="B23" s="2" t="str">
        <f>CLEAN(TRIM(Raw_Data!B61))</f>
        <v>Hassan Anwar</v>
      </c>
      <c r="C23" s="2" t="s">
        <v>509</v>
      </c>
      <c r="D23" s="2" t="s">
        <v>331</v>
      </c>
      <c r="E23" s="2" t="str">
        <f t="shared" si="0"/>
        <v>03276733317</v>
      </c>
      <c r="F23" s="2" t="str">
        <f>TRIM(PROPER(Raw_Data!E61))</f>
        <v>Islamabad</v>
      </c>
      <c r="G23" s="2" t="str">
        <f>TRIM(PROPER(Raw_Data!F61))</f>
        <v>Smart Watch</v>
      </c>
      <c r="H23" s="2" t="s">
        <v>95</v>
      </c>
      <c r="I23" s="17">
        <v>46206</v>
      </c>
      <c r="J23" s="28">
        <v>3</v>
      </c>
      <c r="K23" s="21">
        <v>85000</v>
      </c>
      <c r="L23" s="25">
        <f t="shared" si="1"/>
        <v>255000</v>
      </c>
      <c r="M23" s="2" t="s">
        <v>20</v>
      </c>
      <c r="N23" s="2" t="s">
        <v>29</v>
      </c>
      <c r="O23" s="13">
        <v>46213</v>
      </c>
      <c r="P23" t="str">
        <f t="shared" si="2"/>
        <v>ORD</v>
      </c>
      <c r="Q23" t="str">
        <f t="shared" si="3"/>
        <v>1057</v>
      </c>
      <c r="R23">
        <f t="shared" si="4"/>
        <v>4</v>
      </c>
      <c r="S23" t="str">
        <f t="shared" si="5"/>
        <v>1057</v>
      </c>
    </row>
    <row r="24" spans="1:19" x14ac:dyDescent="0.35">
      <c r="A24" s="2" t="s">
        <v>400</v>
      </c>
      <c r="B24" s="2" t="str">
        <f>CLEAN(TRIM(Raw_Data!B81))</f>
        <v>Iqra Qureshi</v>
      </c>
      <c r="C24" s="2" t="s">
        <v>402</v>
      </c>
      <c r="D24" s="2" t="s">
        <v>403</v>
      </c>
      <c r="E24" s="2" t="str">
        <f t="shared" si="0"/>
        <v>03179702060</v>
      </c>
      <c r="F24" s="2" t="str">
        <f>TRIM(PROPER(Raw_Data!E81))</f>
        <v>Sialkot</v>
      </c>
      <c r="G24" s="2" t="str">
        <f>TRIM(PROPER(Raw_Data!F81))</f>
        <v>Office Chair</v>
      </c>
      <c r="H24" s="2" t="s">
        <v>45</v>
      </c>
      <c r="I24" s="17">
        <v>46253</v>
      </c>
      <c r="J24" s="28">
        <v>3</v>
      </c>
      <c r="K24" s="21">
        <v>85000</v>
      </c>
      <c r="L24" s="25">
        <f t="shared" si="1"/>
        <v>255000</v>
      </c>
      <c r="M24" s="2" t="s">
        <v>102</v>
      </c>
      <c r="N24" s="2" t="s">
        <v>29</v>
      </c>
      <c r="O24" s="13">
        <v>46260</v>
      </c>
      <c r="P24" t="str">
        <f t="shared" si="2"/>
        <v>ORD</v>
      </c>
      <c r="Q24" t="str">
        <f t="shared" si="3"/>
        <v>1076</v>
      </c>
      <c r="R24">
        <f t="shared" si="4"/>
        <v>4</v>
      </c>
      <c r="S24" t="str">
        <f t="shared" si="5"/>
        <v>1076</v>
      </c>
    </row>
    <row r="25" spans="1:19" x14ac:dyDescent="0.35">
      <c r="A25" s="2" t="s">
        <v>242</v>
      </c>
      <c r="B25" s="2" t="str">
        <f>CLEAN(TRIM(Raw_Data!B42))</f>
        <v>Naveed Chaudhry</v>
      </c>
      <c r="C25" s="2" t="s">
        <v>244</v>
      </c>
      <c r="D25" s="2" t="s">
        <v>245</v>
      </c>
      <c r="E25" s="2" t="str">
        <f t="shared" si="0"/>
        <v>03011822825</v>
      </c>
      <c r="F25" s="2" t="str">
        <f>TRIM(PROPER(Raw_Data!E42))</f>
        <v>Faisalabad</v>
      </c>
      <c r="G25" s="2" t="str">
        <f>TRIM(PROPER(Raw_Data!F42))</f>
        <v>Jacket</v>
      </c>
      <c r="H25" s="2" t="str">
        <f>TRIM(PROPER(Raw_Data!G42))</f>
        <v>Apparel</v>
      </c>
      <c r="I25" s="17">
        <v>46250</v>
      </c>
      <c r="J25" s="28">
        <v>2</v>
      </c>
      <c r="K25" s="21">
        <v>120000</v>
      </c>
      <c r="L25" s="25">
        <f t="shared" si="1"/>
        <v>240000</v>
      </c>
      <c r="M25" s="2" t="s">
        <v>20</v>
      </c>
      <c r="N25" s="2" t="s">
        <v>495</v>
      </c>
      <c r="O25" s="13">
        <v>46257</v>
      </c>
      <c r="P25" t="str">
        <f t="shared" si="2"/>
        <v>ORD</v>
      </c>
      <c r="Q25" t="str">
        <f t="shared" si="3"/>
        <v>1040</v>
      </c>
      <c r="R25">
        <f t="shared" si="4"/>
        <v>4</v>
      </c>
      <c r="S25" t="str">
        <f t="shared" si="5"/>
        <v>1040</v>
      </c>
    </row>
    <row r="26" spans="1:19" x14ac:dyDescent="0.35">
      <c r="A26" s="2" t="s">
        <v>349</v>
      </c>
      <c r="B26" s="2" t="str">
        <f>CLEAN(TRIM(Raw_Data!B66))</f>
        <v>Salman Siddiqui</v>
      </c>
      <c r="C26" s="2" t="s">
        <v>351</v>
      </c>
      <c r="D26" s="2" t="s">
        <v>352</v>
      </c>
      <c r="E26" s="2" t="str">
        <f t="shared" si="0"/>
        <v>03951272499</v>
      </c>
      <c r="F26" s="2" t="str">
        <f>TRIM(PROPER(Raw_Data!E66))</f>
        <v>Multan</v>
      </c>
      <c r="G26" s="2" t="str">
        <f>TRIM(PROPER(Raw_Data!F66))</f>
        <v>Smart Watch</v>
      </c>
      <c r="H26" s="2" t="s">
        <v>95</v>
      </c>
      <c r="I26" s="17">
        <v>46238</v>
      </c>
      <c r="J26" s="28">
        <v>2</v>
      </c>
      <c r="K26" s="21">
        <v>120000</v>
      </c>
      <c r="L26" s="25">
        <f t="shared" si="1"/>
        <v>240000</v>
      </c>
      <c r="M26" s="2" t="s">
        <v>102</v>
      </c>
      <c r="N26" s="2" t="s">
        <v>515</v>
      </c>
      <c r="O26" s="13">
        <v>46242</v>
      </c>
      <c r="P26" t="str">
        <f t="shared" si="2"/>
        <v>ORD</v>
      </c>
      <c r="Q26" t="str">
        <f t="shared" si="3"/>
        <v>1062</v>
      </c>
      <c r="R26">
        <f t="shared" si="4"/>
        <v>4</v>
      </c>
      <c r="S26" t="str">
        <f t="shared" si="5"/>
        <v>1062</v>
      </c>
    </row>
    <row r="27" spans="1:19" x14ac:dyDescent="0.35">
      <c r="A27" s="2" t="s">
        <v>379</v>
      </c>
      <c r="B27" s="2" t="str">
        <f>CLEAN(TRIM(Raw_Data!B73))</f>
        <v>Fahad Sheikh</v>
      </c>
      <c r="C27" s="2" t="s">
        <v>381</v>
      </c>
      <c r="D27" s="2" t="s">
        <v>382</v>
      </c>
      <c r="E27" s="2" t="str">
        <f t="shared" si="0"/>
        <v>03105204459</v>
      </c>
      <c r="F27" s="2" t="str">
        <f>TRIM(PROPER(Raw_Data!E73))</f>
        <v>Faisalabad</v>
      </c>
      <c r="G27" s="2" t="str">
        <f>TRIM(PROPER(Raw_Data!F73))</f>
        <v>Water Dispenser</v>
      </c>
      <c r="H27" s="2" t="s">
        <v>27</v>
      </c>
      <c r="I27" s="17">
        <v>46241</v>
      </c>
      <c r="J27" s="28">
        <v>2</v>
      </c>
      <c r="K27" s="21">
        <v>120000</v>
      </c>
      <c r="L27" s="25">
        <f t="shared" si="1"/>
        <v>240000</v>
      </c>
      <c r="M27" s="2" t="s">
        <v>20</v>
      </c>
      <c r="N27" s="2" t="s">
        <v>515</v>
      </c>
      <c r="O27" s="13">
        <v>46244</v>
      </c>
      <c r="P27" t="str">
        <f t="shared" si="2"/>
        <v>ORD</v>
      </c>
      <c r="Q27" t="str">
        <f t="shared" si="3"/>
        <v>1069</v>
      </c>
      <c r="R27">
        <f t="shared" si="4"/>
        <v>4</v>
      </c>
      <c r="S27" t="str">
        <f t="shared" si="5"/>
        <v>1069</v>
      </c>
    </row>
    <row r="28" spans="1:19" x14ac:dyDescent="0.35">
      <c r="A28" s="2" t="s">
        <v>166</v>
      </c>
      <c r="B28" s="2" t="str">
        <f>CLEAN(TRIM(Raw_Data!B27))</f>
        <v>Noor Qureshi</v>
      </c>
      <c r="C28" s="2" t="s">
        <v>168</v>
      </c>
      <c r="D28" s="2" t="s">
        <v>169</v>
      </c>
      <c r="E28" s="2" t="str">
        <f t="shared" si="0"/>
        <v>03358563202</v>
      </c>
      <c r="F28" s="2" t="s">
        <v>495</v>
      </c>
      <c r="G28" s="2" t="str">
        <f>TRIM(PROPER(Raw_Data!F27))</f>
        <v>T-Shirt</v>
      </c>
      <c r="H28" s="2" t="str">
        <f>TRIM(PROPER(Raw_Data!G27))</f>
        <v>Apparel</v>
      </c>
      <c r="I28" s="17">
        <v>46221</v>
      </c>
      <c r="J28" s="28">
        <v>3</v>
      </c>
      <c r="K28" s="21">
        <v>65000</v>
      </c>
      <c r="L28" s="25">
        <f t="shared" si="1"/>
        <v>195000</v>
      </c>
      <c r="M28" s="2" t="s">
        <v>20</v>
      </c>
      <c r="N28" s="2" t="s">
        <v>29</v>
      </c>
      <c r="O28" s="13">
        <v>46227</v>
      </c>
      <c r="P28" t="str">
        <f t="shared" si="2"/>
        <v>ORD</v>
      </c>
      <c r="Q28" t="str">
        <f t="shared" si="3"/>
        <v>1026</v>
      </c>
      <c r="R28">
        <f t="shared" si="4"/>
        <v>4</v>
      </c>
      <c r="S28" t="str">
        <f t="shared" si="5"/>
        <v>1026</v>
      </c>
    </row>
    <row r="29" spans="1:19" x14ac:dyDescent="0.35">
      <c r="A29" s="2" t="s">
        <v>137</v>
      </c>
      <c r="B29" s="2" t="str">
        <f>CLEAN(TRIM(Raw_Data!B22))</f>
        <v>Danish Ali</v>
      </c>
      <c r="C29" s="2" t="s">
        <v>139</v>
      </c>
      <c r="D29" s="2" t="s">
        <v>140</v>
      </c>
      <c r="E29" s="2" t="str">
        <f t="shared" si="0"/>
        <v>03537838382</v>
      </c>
      <c r="F29" s="2" t="str">
        <f>TRIM(PROPER(Raw_Data!E22))</f>
        <v>Peshawar</v>
      </c>
      <c r="G29" s="2" t="str">
        <f>TRIM(PROPER(Raw_Data!F22))</f>
        <v>Sunglasses</v>
      </c>
      <c r="H29" s="2" t="str">
        <f>TRIM(PROPER(Raw_Data!G22))</f>
        <v>Accessories</v>
      </c>
      <c r="I29" s="17">
        <v>46252</v>
      </c>
      <c r="J29" s="28">
        <v>4</v>
      </c>
      <c r="K29" s="21">
        <v>45000</v>
      </c>
      <c r="L29" s="25">
        <f t="shared" si="1"/>
        <v>180000</v>
      </c>
      <c r="M29" s="2" t="s">
        <v>20</v>
      </c>
      <c r="N29" s="2" t="s">
        <v>29</v>
      </c>
      <c r="O29" s="13">
        <v>46258</v>
      </c>
      <c r="P29" t="str">
        <f t="shared" si="2"/>
        <v>ORD</v>
      </c>
      <c r="Q29" t="str">
        <f t="shared" si="3"/>
        <v>1021</v>
      </c>
      <c r="R29">
        <f t="shared" si="4"/>
        <v>4</v>
      </c>
      <c r="S29" t="str">
        <f t="shared" si="5"/>
        <v>1021</v>
      </c>
    </row>
    <row r="30" spans="1:19" x14ac:dyDescent="0.35">
      <c r="A30" s="2" t="s">
        <v>448</v>
      </c>
      <c r="B30" s="2" t="str">
        <f>CLEAN(TRIM(Raw_Data!B95))</f>
        <v>Hamza Rana</v>
      </c>
      <c r="C30" s="2" t="s">
        <v>450</v>
      </c>
      <c r="D30" s="2" t="s">
        <v>451</v>
      </c>
      <c r="E30" s="2" t="str">
        <f t="shared" si="0"/>
        <v>03928005797</v>
      </c>
      <c r="F30" s="2" t="str">
        <f>TRIM(PROPER(Raw_Data!E95))</f>
        <v>Multan</v>
      </c>
      <c r="G30" s="2" t="str">
        <f>TRIM(PROPER(Raw_Data!F95))</f>
        <v>Sofa Set</v>
      </c>
      <c r="H30" s="2" t="s">
        <v>45</v>
      </c>
      <c r="I30" s="17">
        <v>46252</v>
      </c>
      <c r="J30" s="28">
        <v>4</v>
      </c>
      <c r="K30" s="21">
        <v>45000</v>
      </c>
      <c r="L30" s="25">
        <f t="shared" si="1"/>
        <v>180000</v>
      </c>
      <c r="M30" s="2" t="s">
        <v>20</v>
      </c>
      <c r="N30" s="2" t="s">
        <v>29</v>
      </c>
      <c r="O30" s="13">
        <v>46257</v>
      </c>
      <c r="P30" t="str">
        <f t="shared" si="2"/>
        <v>ORD</v>
      </c>
      <c r="Q30" t="str">
        <f t="shared" si="3"/>
        <v>1090</v>
      </c>
      <c r="R30">
        <f t="shared" si="4"/>
        <v>4</v>
      </c>
      <c r="S30" t="str">
        <f t="shared" si="5"/>
        <v>1090</v>
      </c>
    </row>
    <row r="31" spans="1:19" x14ac:dyDescent="0.35">
      <c r="A31" s="2" t="s">
        <v>456</v>
      </c>
      <c r="B31" s="2" t="str">
        <f>CLEAN(TRIM(Raw_Data!B97))</f>
        <v>Ali Khan</v>
      </c>
      <c r="C31" s="2" t="s">
        <v>458</v>
      </c>
      <c r="D31" s="2" t="s">
        <v>459</v>
      </c>
      <c r="E31" s="2" t="str">
        <f t="shared" si="0"/>
        <v>03898223819</v>
      </c>
      <c r="F31" s="2" t="str">
        <f>TRIM(PROPER(Raw_Data!E97))</f>
        <v>Karachi</v>
      </c>
      <c r="G31" s="2" t="str">
        <f>TRIM(PROPER(Raw_Data!F97))</f>
        <v>Water Dispenser</v>
      </c>
      <c r="H31" s="2" t="s">
        <v>27</v>
      </c>
      <c r="I31" s="17">
        <v>46209</v>
      </c>
      <c r="J31" s="28">
        <v>4</v>
      </c>
      <c r="K31" s="21">
        <v>45000</v>
      </c>
      <c r="L31" s="25">
        <f t="shared" si="1"/>
        <v>180000</v>
      </c>
      <c r="M31" s="2" t="s">
        <v>20</v>
      </c>
      <c r="N31" s="2" t="s">
        <v>90</v>
      </c>
      <c r="O31" s="13">
        <v>46213</v>
      </c>
      <c r="P31" t="str">
        <f t="shared" si="2"/>
        <v>ORD</v>
      </c>
      <c r="Q31" t="str">
        <f t="shared" si="3"/>
        <v>1092</v>
      </c>
      <c r="R31">
        <f t="shared" si="4"/>
        <v>4</v>
      </c>
      <c r="S31" t="str">
        <f t="shared" si="5"/>
        <v>1092</v>
      </c>
    </row>
    <row r="32" spans="1:19" x14ac:dyDescent="0.35">
      <c r="A32" s="2" t="s">
        <v>172</v>
      </c>
      <c r="B32" s="2" t="str">
        <f>CLEAN(TRIM(Raw_Data!B28))</f>
        <v>Junaid Abbasi</v>
      </c>
      <c r="C32" s="2" t="s">
        <v>174</v>
      </c>
      <c r="D32" s="2" t="s">
        <v>175</v>
      </c>
      <c r="E32" s="2" t="str">
        <f t="shared" si="0"/>
        <v>03022561176</v>
      </c>
      <c r="F32" s="2" t="str">
        <f>TRIM(PROPER(Raw_Data!E28))</f>
        <v>Rawalpindi</v>
      </c>
      <c r="G32" s="2" t="str">
        <f>TRIM(PROPER(Raw_Data!F28))</f>
        <v>Jacket</v>
      </c>
      <c r="H32" s="2" t="str">
        <f>TRIM(PROPER(Raw_Data!G28))</f>
        <v>Apparel</v>
      </c>
      <c r="I32" s="17">
        <v>46239</v>
      </c>
      <c r="J32" s="28">
        <v>3</v>
      </c>
      <c r="K32" s="21">
        <v>45000</v>
      </c>
      <c r="L32" s="25">
        <f t="shared" si="1"/>
        <v>135000</v>
      </c>
      <c r="M32" s="2" t="s">
        <v>28</v>
      </c>
      <c r="N32" s="2" t="s">
        <v>29</v>
      </c>
      <c r="O32" s="13">
        <v>46243</v>
      </c>
      <c r="P32" t="str">
        <f t="shared" si="2"/>
        <v>ORD</v>
      </c>
      <c r="Q32" t="str">
        <f t="shared" si="3"/>
        <v>1027</v>
      </c>
      <c r="R32">
        <f t="shared" si="4"/>
        <v>4</v>
      </c>
      <c r="S32" t="str">
        <f t="shared" si="5"/>
        <v>1027</v>
      </c>
    </row>
    <row r="33" spans="1:19" x14ac:dyDescent="0.35">
      <c r="A33" s="2" t="s">
        <v>367</v>
      </c>
      <c r="B33" s="2" t="str">
        <f>CLEAN(TRIM(Raw_Data!B70))</f>
        <v>Asad Javed</v>
      </c>
      <c r="C33" s="2" t="s">
        <v>369</v>
      </c>
      <c r="D33" s="2" t="s">
        <v>370</v>
      </c>
      <c r="E33" s="2" t="str">
        <f t="shared" si="0"/>
        <v>03835675638</v>
      </c>
      <c r="F33" s="2" t="str">
        <f>TRIM(PROPER(Raw_Data!E70))</f>
        <v>Lahore</v>
      </c>
      <c r="G33" s="2" t="str">
        <f>TRIM(PROPER(Raw_Data!F70))</f>
        <v>Handbag</v>
      </c>
      <c r="H33" s="2" t="s">
        <v>77</v>
      </c>
      <c r="I33" s="17">
        <v>46217</v>
      </c>
      <c r="J33" s="28">
        <v>3</v>
      </c>
      <c r="K33" s="21">
        <v>45000</v>
      </c>
      <c r="L33" s="25">
        <f t="shared" si="1"/>
        <v>135000</v>
      </c>
      <c r="M33" s="2" t="s">
        <v>28</v>
      </c>
      <c r="N33" s="2" t="s">
        <v>90</v>
      </c>
      <c r="O33" s="13">
        <v>46223</v>
      </c>
      <c r="P33" t="str">
        <f t="shared" si="2"/>
        <v>ORD</v>
      </c>
      <c r="Q33" t="str">
        <f t="shared" si="3"/>
        <v>1066</v>
      </c>
      <c r="R33">
        <f t="shared" si="4"/>
        <v>4</v>
      </c>
      <c r="S33" t="str">
        <f t="shared" si="5"/>
        <v>1066</v>
      </c>
    </row>
    <row r="34" spans="1:19" x14ac:dyDescent="0.35">
      <c r="A34" s="2" t="s">
        <v>383</v>
      </c>
      <c r="B34" s="2" t="str">
        <f>CLEAN(TRIM(Raw_Data!B74))</f>
        <v>Naveed Ahmed</v>
      </c>
      <c r="C34" s="2" t="s">
        <v>385</v>
      </c>
      <c r="D34" s="2" t="s">
        <v>386</v>
      </c>
      <c r="E34" s="2" t="str">
        <f t="shared" ref="E34:E65" si="6">SUBSTITUTE(SUBSTITUTE(D34,"-","")," ","")</f>
        <v>03334536777</v>
      </c>
      <c r="F34" s="2" t="str">
        <f>TRIM(PROPER(Raw_Data!E74))</f>
        <v>Lahore</v>
      </c>
      <c r="G34" s="2" t="str">
        <f>TRIM(PROPER(Raw_Data!F74))</f>
        <v>Vacuum Cleaner</v>
      </c>
      <c r="H34" s="2" t="s">
        <v>27</v>
      </c>
      <c r="I34" s="17">
        <v>46247</v>
      </c>
      <c r="J34" s="28">
        <v>3</v>
      </c>
      <c r="K34" s="21">
        <v>45000</v>
      </c>
      <c r="L34" s="25">
        <f t="shared" ref="L34:L65" si="7">J34*K34</f>
        <v>135000</v>
      </c>
      <c r="M34" s="2" t="s">
        <v>20</v>
      </c>
      <c r="N34" s="2" t="s">
        <v>29</v>
      </c>
      <c r="O34" s="13">
        <v>46252</v>
      </c>
      <c r="P34" t="str">
        <f t="shared" ref="P34:P65" si="8">LEFT(A34,3)</f>
        <v>ORD</v>
      </c>
      <c r="Q34" t="str">
        <f t="shared" ref="Q34:Q65" si="9">RIGHT(A34,4)</f>
        <v>1070</v>
      </c>
      <c r="R34">
        <f t="shared" ref="R34:R65" si="10">FIND("-",A34)</f>
        <v>4</v>
      </c>
      <c r="S34" t="str">
        <f t="shared" ref="S34:S65" si="11">MID(A34,FIND("-",A34)+1,4)</f>
        <v>1070</v>
      </c>
    </row>
    <row r="35" spans="1:19" x14ac:dyDescent="0.35">
      <c r="A35" s="2" t="s">
        <v>39</v>
      </c>
      <c r="B35" s="2" t="str">
        <f>CLEAN(TRIM(Raw_Data!B5))</f>
        <v>Ayesha Iqbal</v>
      </c>
      <c r="C35" s="2" t="s">
        <v>510</v>
      </c>
      <c r="D35" s="2" t="s">
        <v>42</v>
      </c>
      <c r="E35" s="2" t="str">
        <f t="shared" si="6"/>
        <v>03726279418</v>
      </c>
      <c r="F35" s="2" t="str">
        <f>TRIM(PROPER(Raw_Data!E5))</f>
        <v>Peshawar</v>
      </c>
      <c r="G35" s="2" t="str">
        <f>TRIM(PROPER(Raw_Data!F5))</f>
        <v>Bookshelf</v>
      </c>
      <c r="H35" s="2" t="str">
        <f>TRIM(PROPER(Raw_Data!G5))</f>
        <v>Furniture</v>
      </c>
      <c r="I35" s="17">
        <v>46241</v>
      </c>
      <c r="J35" s="28">
        <v>5</v>
      </c>
      <c r="K35" s="21">
        <v>25000</v>
      </c>
      <c r="L35" s="25">
        <f t="shared" si="7"/>
        <v>125000</v>
      </c>
      <c r="M35" s="2" t="s">
        <v>46</v>
      </c>
      <c r="N35" s="2" t="s">
        <v>29</v>
      </c>
      <c r="O35" s="13">
        <v>46246</v>
      </c>
      <c r="P35" t="str">
        <f t="shared" si="8"/>
        <v>ORD</v>
      </c>
      <c r="Q35" t="str">
        <f t="shared" si="9"/>
        <v>1004</v>
      </c>
      <c r="R35">
        <f t="shared" si="10"/>
        <v>4</v>
      </c>
      <c r="S35" t="str">
        <f t="shared" si="11"/>
        <v>1004</v>
      </c>
    </row>
    <row r="36" spans="1:19" x14ac:dyDescent="0.35">
      <c r="A36" s="2" t="s">
        <v>215</v>
      </c>
      <c r="B36" s="2" t="str">
        <f>CLEAN(TRIM(Raw_Data!B36))</f>
        <v>Asad Ahmed</v>
      </c>
      <c r="C36" s="2" t="s">
        <v>217</v>
      </c>
      <c r="D36" s="2" t="s">
        <v>218</v>
      </c>
      <c r="E36" s="2" t="str">
        <f t="shared" si="6"/>
        <v>03151484348</v>
      </c>
      <c r="F36" s="2" t="str">
        <f>TRIM(PROPER(Raw_Data!E36))</f>
        <v>Rawalpindi</v>
      </c>
      <c r="G36" s="2" t="str">
        <f>TRIM(PROPER(Raw_Data!F36))</f>
        <v>Vacuum Cleaner</v>
      </c>
      <c r="H36" s="2" t="str">
        <f>TRIM(PROPER(Raw_Data!G36))</f>
        <v>Home Appliances</v>
      </c>
      <c r="I36" s="17">
        <v>46211</v>
      </c>
      <c r="J36" s="28">
        <v>1</v>
      </c>
      <c r="K36" s="21">
        <v>120000</v>
      </c>
      <c r="L36" s="25">
        <f t="shared" si="7"/>
        <v>120000</v>
      </c>
      <c r="M36" s="2" t="s">
        <v>20</v>
      </c>
      <c r="N36" s="2" t="s">
        <v>90</v>
      </c>
      <c r="O36" s="13">
        <v>46216</v>
      </c>
      <c r="P36" t="str">
        <f t="shared" si="8"/>
        <v>ORD</v>
      </c>
      <c r="Q36" t="str">
        <f t="shared" si="9"/>
        <v>1034</v>
      </c>
      <c r="R36">
        <f t="shared" si="10"/>
        <v>4</v>
      </c>
      <c r="S36" t="str">
        <f t="shared" si="11"/>
        <v>1034</v>
      </c>
    </row>
    <row r="37" spans="1:19" x14ac:dyDescent="0.35">
      <c r="A37" s="2" t="s">
        <v>408</v>
      </c>
      <c r="B37" s="2" t="str">
        <f>CLEAN(TRIM(Raw_Data!B83))</f>
        <v>Asad Hussain</v>
      </c>
      <c r="C37" s="2" t="s">
        <v>410</v>
      </c>
      <c r="D37" s="2" t="s">
        <v>411</v>
      </c>
      <c r="E37" s="2" t="str">
        <f t="shared" si="6"/>
        <v>03895557052</v>
      </c>
      <c r="F37" s="2" t="str">
        <f>TRIM(PROPER(Raw_Data!E83))</f>
        <v>Rawalpindi</v>
      </c>
      <c r="G37" s="2" t="str">
        <f>TRIM(PROPER(Raw_Data!F83))</f>
        <v>Microwave Oven </v>
      </c>
      <c r="H37" s="2" t="s">
        <v>27</v>
      </c>
      <c r="I37" s="17">
        <v>46249</v>
      </c>
      <c r="J37" s="28">
        <v>1</v>
      </c>
      <c r="K37" s="21">
        <v>120000</v>
      </c>
      <c r="L37" s="25">
        <f t="shared" si="7"/>
        <v>120000</v>
      </c>
      <c r="M37" s="2" t="s">
        <v>496</v>
      </c>
      <c r="N37" s="2" t="s">
        <v>515</v>
      </c>
      <c r="O37" s="13">
        <v>46254</v>
      </c>
      <c r="P37" t="str">
        <f t="shared" si="8"/>
        <v>ORD</v>
      </c>
      <c r="Q37" t="str">
        <f t="shared" si="9"/>
        <v>1078</v>
      </c>
      <c r="R37">
        <f t="shared" si="10"/>
        <v>4</v>
      </c>
      <c r="S37" t="str">
        <f t="shared" si="11"/>
        <v>1078</v>
      </c>
    </row>
    <row r="38" spans="1:19" x14ac:dyDescent="0.35">
      <c r="A38" s="2" t="s">
        <v>432</v>
      </c>
      <c r="B38" s="2" t="str">
        <f>CLEAN(TRIM(Raw_Data!B89))</f>
        <v>Ali Raza</v>
      </c>
      <c r="C38" s="2" t="s">
        <v>275</v>
      </c>
      <c r="D38" s="2" t="s">
        <v>494</v>
      </c>
      <c r="E38" s="2" t="str">
        <f t="shared" si="6"/>
        <v>NotProvided</v>
      </c>
      <c r="F38" s="2" t="str">
        <f>TRIM(PROPER(Raw_Data!E89))</f>
        <v>Peshawar</v>
      </c>
      <c r="G38" s="2" t="str">
        <f>TRIM(PROPER(Raw_Data!F89))</f>
        <v>Sunglasses</v>
      </c>
      <c r="H38" s="2" t="s">
        <v>77</v>
      </c>
      <c r="I38" s="17">
        <v>46228</v>
      </c>
      <c r="J38" s="28">
        <v>1</v>
      </c>
      <c r="K38" s="21">
        <v>120000</v>
      </c>
      <c r="L38" s="25">
        <f t="shared" si="7"/>
        <v>120000</v>
      </c>
      <c r="M38" s="2" t="s">
        <v>102</v>
      </c>
      <c r="N38" s="2" t="s">
        <v>90</v>
      </c>
      <c r="O38" s="13">
        <v>46233</v>
      </c>
      <c r="P38" t="str">
        <f t="shared" si="8"/>
        <v>ORD</v>
      </c>
      <c r="Q38" t="str">
        <f t="shared" si="9"/>
        <v>1084</v>
      </c>
      <c r="R38">
        <f t="shared" si="10"/>
        <v>4</v>
      </c>
      <c r="S38" t="str">
        <f t="shared" si="11"/>
        <v>1084</v>
      </c>
    </row>
    <row r="39" spans="1:19" x14ac:dyDescent="0.35">
      <c r="A39" s="2" t="s">
        <v>433</v>
      </c>
      <c r="B39" s="2" t="str">
        <f>CLEAN(TRIM(Raw_Data!B90))</f>
        <v>Amna Siddiqui</v>
      </c>
      <c r="C39" s="2" t="s">
        <v>494</v>
      </c>
      <c r="D39" s="8">
        <v>3026005700</v>
      </c>
      <c r="E39" s="2" t="str">
        <f t="shared" si="6"/>
        <v>3026005700</v>
      </c>
      <c r="F39" s="2" t="str">
        <f>TRIM(PROPER(Raw_Data!E90))</f>
        <v>Peshawar</v>
      </c>
      <c r="G39" s="2" t="str">
        <f>TRIM(PROPER(Raw_Data!F90))</f>
        <v>Sofa Set</v>
      </c>
      <c r="H39" s="2" t="s">
        <v>45</v>
      </c>
      <c r="I39" s="17">
        <v>46250</v>
      </c>
      <c r="J39" s="28">
        <v>1</v>
      </c>
      <c r="K39" s="21">
        <v>120000</v>
      </c>
      <c r="L39" s="25">
        <f t="shared" si="7"/>
        <v>120000</v>
      </c>
      <c r="M39" s="2" t="s">
        <v>46</v>
      </c>
      <c r="N39" s="2" t="s">
        <v>29</v>
      </c>
      <c r="O39" s="13">
        <v>46252</v>
      </c>
      <c r="P39" t="str">
        <f t="shared" si="8"/>
        <v>ORD</v>
      </c>
      <c r="Q39" t="str">
        <f t="shared" si="9"/>
        <v>1085</v>
      </c>
      <c r="R39">
        <f t="shared" si="10"/>
        <v>4</v>
      </c>
      <c r="S39" t="str">
        <f t="shared" si="11"/>
        <v>1085</v>
      </c>
    </row>
    <row r="40" spans="1:19" x14ac:dyDescent="0.35">
      <c r="A40" s="2" t="s">
        <v>290</v>
      </c>
      <c r="B40" s="2" t="str">
        <f>CLEAN(TRIM(Raw_Data!B53))</f>
        <v>Sara Ali</v>
      </c>
      <c r="C40" s="2" t="s">
        <v>292</v>
      </c>
      <c r="D40" s="2" t="s">
        <v>293</v>
      </c>
      <c r="E40" s="2" t="str">
        <f t="shared" si="6"/>
        <v>03396442241</v>
      </c>
      <c r="F40" s="2" t="str">
        <f>TRIM(PROPER(Raw_Data!E53))</f>
        <v>Lahore</v>
      </c>
      <c r="G40" s="2" t="str">
        <f>TRIM(PROPER(Raw_Data!F53))</f>
        <v>Water Dispenser</v>
      </c>
      <c r="H40" s="2" t="s">
        <v>27</v>
      </c>
      <c r="I40" s="17">
        <v>46235</v>
      </c>
      <c r="J40" s="28">
        <v>4</v>
      </c>
      <c r="K40" s="21">
        <v>25000</v>
      </c>
      <c r="L40" s="25">
        <f t="shared" si="7"/>
        <v>100000</v>
      </c>
      <c r="M40" s="2" t="s">
        <v>28</v>
      </c>
      <c r="N40" s="2" t="s">
        <v>515</v>
      </c>
      <c r="O40" s="13">
        <v>46241</v>
      </c>
      <c r="P40" t="str">
        <f t="shared" si="8"/>
        <v>ORD</v>
      </c>
      <c r="Q40" t="str">
        <f t="shared" si="9"/>
        <v>1050</v>
      </c>
      <c r="R40">
        <f t="shared" si="10"/>
        <v>4</v>
      </c>
      <c r="S40" t="str">
        <f t="shared" si="11"/>
        <v>1050</v>
      </c>
    </row>
    <row r="41" spans="1:19" x14ac:dyDescent="0.35">
      <c r="A41" s="2" t="s">
        <v>14</v>
      </c>
      <c r="B41" s="2" t="str">
        <f>CLEAN(TRIM(Raw_Data!B2))</f>
        <v>Mahnoor Khan</v>
      </c>
      <c r="C41" s="2" t="s">
        <v>16</v>
      </c>
      <c r="D41" s="2" t="s">
        <v>17</v>
      </c>
      <c r="E41" s="2" t="str">
        <f t="shared" si="6"/>
        <v>03692458591</v>
      </c>
      <c r="F41" s="2" t="str">
        <f>TRIM(PROPER(Raw_Data!E2))</f>
        <v>Lahore</v>
      </c>
      <c r="G41" s="2" t="str">
        <f>TRIM(PROPER(Raw_Data!F2))</f>
        <v>Microwave Oven</v>
      </c>
      <c r="H41" s="2" t="s">
        <v>495</v>
      </c>
      <c r="I41" s="17">
        <v>46238</v>
      </c>
      <c r="J41" s="28">
        <v>2</v>
      </c>
      <c r="K41" s="21">
        <v>45000</v>
      </c>
      <c r="L41" s="25">
        <f t="shared" si="7"/>
        <v>90000</v>
      </c>
      <c r="M41" s="2" t="s">
        <v>20</v>
      </c>
      <c r="N41" s="2" t="s">
        <v>495</v>
      </c>
      <c r="O41" s="13">
        <v>46243</v>
      </c>
      <c r="P41" t="str">
        <f t="shared" si="8"/>
        <v>ORD</v>
      </c>
      <c r="Q41" t="str">
        <f t="shared" si="9"/>
        <v>1001</v>
      </c>
      <c r="R41">
        <f t="shared" si="10"/>
        <v>4</v>
      </c>
      <c r="S41" t="str">
        <f t="shared" si="11"/>
        <v>1001</v>
      </c>
    </row>
    <row r="42" spans="1:19" x14ac:dyDescent="0.35">
      <c r="A42" s="2" t="s">
        <v>224</v>
      </c>
      <c r="B42" s="2" t="str">
        <f>CLEAN(TRIM(Raw_Data!B38))</f>
        <v>Asad Siddiqui</v>
      </c>
      <c r="C42" s="2" t="s">
        <v>226</v>
      </c>
      <c r="D42" s="2" t="s">
        <v>227</v>
      </c>
      <c r="E42" s="2" t="str">
        <f t="shared" si="6"/>
        <v>03414165061</v>
      </c>
      <c r="F42" s="2" t="str">
        <f>TRIM(PROPER(Raw_Data!E38))</f>
        <v>Peshawar</v>
      </c>
      <c r="G42" s="2" t="str">
        <f>TRIM(PROPER(Raw_Data!F38))</f>
        <v>Sunglasses</v>
      </c>
      <c r="H42" s="2" t="str">
        <f>TRIM(PROPER(Raw_Data!G38))</f>
        <v>Accessories</v>
      </c>
      <c r="I42" s="17">
        <v>46228</v>
      </c>
      <c r="J42" s="28">
        <v>2</v>
      </c>
      <c r="K42" s="21">
        <v>45000</v>
      </c>
      <c r="L42" s="25">
        <f t="shared" si="7"/>
        <v>90000</v>
      </c>
      <c r="M42" s="2" t="s">
        <v>20</v>
      </c>
      <c r="N42" s="2" t="s">
        <v>515</v>
      </c>
      <c r="O42" s="13">
        <v>46233</v>
      </c>
      <c r="P42" t="str">
        <f t="shared" si="8"/>
        <v>ORD</v>
      </c>
      <c r="Q42" t="str">
        <f t="shared" si="9"/>
        <v>1036</v>
      </c>
      <c r="R42">
        <f t="shared" si="10"/>
        <v>4</v>
      </c>
      <c r="S42" t="str">
        <f t="shared" si="11"/>
        <v>1036</v>
      </c>
    </row>
    <row r="43" spans="1:19" x14ac:dyDescent="0.35">
      <c r="A43" s="2" t="s">
        <v>371</v>
      </c>
      <c r="B43" s="2" t="str">
        <f>CLEAN(TRIM(Raw_Data!B71))</f>
        <v>Amna Baig</v>
      </c>
      <c r="C43" s="2" t="s">
        <v>373</v>
      </c>
      <c r="D43" s="2" t="s">
        <v>374</v>
      </c>
      <c r="E43" s="2" t="str">
        <f t="shared" si="6"/>
        <v>03376032437</v>
      </c>
      <c r="F43" s="2" t="str">
        <f>TRIM(PROPER(Raw_Data!E71))</f>
        <v>Islamabad</v>
      </c>
      <c r="G43" s="2" t="str">
        <f>TRIM(PROPER(Raw_Data!F71))</f>
        <v>Smart Watch</v>
      </c>
      <c r="H43" s="2" t="s">
        <v>95</v>
      </c>
      <c r="I43" s="17">
        <v>46227</v>
      </c>
      <c r="J43" s="28">
        <v>5</v>
      </c>
      <c r="K43" s="21">
        <v>18000</v>
      </c>
      <c r="L43" s="25">
        <f t="shared" si="7"/>
        <v>90000</v>
      </c>
      <c r="M43" s="2" t="s">
        <v>102</v>
      </c>
      <c r="N43" s="2" t="s">
        <v>515</v>
      </c>
      <c r="O43" s="13">
        <v>46233</v>
      </c>
      <c r="P43" t="str">
        <f t="shared" si="8"/>
        <v>ORD</v>
      </c>
      <c r="Q43" t="str">
        <f t="shared" si="9"/>
        <v>1067</v>
      </c>
      <c r="R43">
        <f t="shared" si="10"/>
        <v>4</v>
      </c>
      <c r="S43" t="str">
        <f t="shared" si="11"/>
        <v>1067</v>
      </c>
    </row>
    <row r="44" spans="1:19" x14ac:dyDescent="0.35">
      <c r="A44" s="2" t="s">
        <v>371</v>
      </c>
      <c r="B44" s="2" t="str">
        <f>CLEAN(TRIM(Raw_Data!B78))</f>
        <v>Amna Baig</v>
      </c>
      <c r="C44" s="2" t="s">
        <v>373</v>
      </c>
      <c r="D44" s="2" t="s">
        <v>374</v>
      </c>
      <c r="E44" s="2" t="str">
        <f t="shared" si="6"/>
        <v>03376032437</v>
      </c>
      <c r="F44" s="2" t="str">
        <f>TRIM(PROPER(Raw_Data!E78))</f>
        <v>Islamabad</v>
      </c>
      <c r="G44" s="2" t="str">
        <f>TRIM(PROPER(Raw_Data!F78))</f>
        <v>Smart Watch</v>
      </c>
      <c r="H44" s="2" t="s">
        <v>95</v>
      </c>
      <c r="I44" s="17">
        <v>46227</v>
      </c>
      <c r="J44" s="28">
        <v>5</v>
      </c>
      <c r="K44" s="21">
        <v>18000</v>
      </c>
      <c r="L44" s="25">
        <f t="shared" si="7"/>
        <v>90000</v>
      </c>
      <c r="M44" s="2" t="s">
        <v>102</v>
      </c>
      <c r="N44" s="2" t="s">
        <v>515</v>
      </c>
      <c r="O44" s="13">
        <v>46233</v>
      </c>
      <c r="P44" t="str">
        <f t="shared" si="8"/>
        <v>ORD</v>
      </c>
      <c r="Q44" t="str">
        <f t="shared" si="9"/>
        <v>1067</v>
      </c>
      <c r="R44">
        <f t="shared" si="10"/>
        <v>4</v>
      </c>
      <c r="S44" t="str">
        <f t="shared" si="11"/>
        <v>1067</v>
      </c>
    </row>
    <row r="45" spans="1:19" x14ac:dyDescent="0.35">
      <c r="A45" s="2" t="s">
        <v>439</v>
      </c>
      <c r="B45" s="2" t="str">
        <f>CLEAN(TRIM(Raw_Data!B92))</f>
        <v>Junaid Chaudhry</v>
      </c>
      <c r="C45" s="2" t="s">
        <v>441</v>
      </c>
      <c r="D45" s="2" t="s">
        <v>442</v>
      </c>
      <c r="E45" s="2" t="str">
        <f t="shared" si="6"/>
        <v>03447394713</v>
      </c>
      <c r="F45" s="2" t="str">
        <f>TRIM(PROPER(Raw_Data!E92))</f>
        <v>Peshawar</v>
      </c>
      <c r="G45" s="2" t="str">
        <f>TRIM(PROPER(Raw_Data!F92))</f>
        <v>Handbag</v>
      </c>
      <c r="H45" s="2" t="s">
        <v>77</v>
      </c>
      <c r="I45" s="17">
        <v>46223</v>
      </c>
      <c r="J45" s="28">
        <v>2</v>
      </c>
      <c r="K45" s="21">
        <v>45000</v>
      </c>
      <c r="L45" s="25">
        <f t="shared" si="7"/>
        <v>90000</v>
      </c>
      <c r="M45" s="2" t="s">
        <v>20</v>
      </c>
      <c r="N45" s="2" t="s">
        <v>515</v>
      </c>
      <c r="O45" s="13">
        <v>46230</v>
      </c>
      <c r="P45" t="str">
        <f t="shared" si="8"/>
        <v>ORD</v>
      </c>
      <c r="Q45" t="str">
        <f t="shared" si="9"/>
        <v>1087</v>
      </c>
      <c r="R45">
        <f t="shared" si="10"/>
        <v>4</v>
      </c>
      <c r="S45" t="str">
        <f t="shared" si="11"/>
        <v>1087</v>
      </c>
    </row>
    <row r="46" spans="1:19" x14ac:dyDescent="0.35">
      <c r="A46" s="2" t="s">
        <v>472</v>
      </c>
      <c r="B46" s="2" t="str">
        <f>CLEAN(TRIM(Raw_Data!B101))</f>
        <v>Sana Aslam</v>
      </c>
      <c r="C46" s="2" t="s">
        <v>474</v>
      </c>
      <c r="D46" s="2" t="s">
        <v>475</v>
      </c>
      <c r="E46" s="2" t="str">
        <f t="shared" si="6"/>
        <v>03975525929</v>
      </c>
      <c r="F46" s="2" t="str">
        <f>TRIM(PROPER(Raw_Data!E101))</f>
        <v>Islamabad</v>
      </c>
      <c r="G46" s="2" t="str">
        <f>TRIM(PROPER(Raw_Data!F101))</f>
        <v>Vacuum Cleaner </v>
      </c>
      <c r="H46" s="2" t="s">
        <v>27</v>
      </c>
      <c r="I46" s="17">
        <v>46209</v>
      </c>
      <c r="J46" s="28">
        <v>5</v>
      </c>
      <c r="K46" s="21">
        <v>18000</v>
      </c>
      <c r="L46" s="25">
        <f t="shared" si="7"/>
        <v>90000</v>
      </c>
      <c r="M46" s="2" t="s">
        <v>496</v>
      </c>
      <c r="N46" s="2" t="s">
        <v>515</v>
      </c>
      <c r="O46" s="13">
        <v>46215</v>
      </c>
      <c r="P46" t="str">
        <f t="shared" si="8"/>
        <v>ORD</v>
      </c>
      <c r="Q46" t="str">
        <f t="shared" si="9"/>
        <v>1096</v>
      </c>
      <c r="R46">
        <f t="shared" si="10"/>
        <v>4</v>
      </c>
      <c r="S46" t="str">
        <f t="shared" si="11"/>
        <v>1096</v>
      </c>
    </row>
    <row r="47" spans="1:19" x14ac:dyDescent="0.35">
      <c r="A47" s="2" t="s">
        <v>310</v>
      </c>
      <c r="B47" s="2" t="str">
        <f>CLEAN(TRIM(Raw_Data!B57))</f>
        <v>Asad Rana</v>
      </c>
      <c r="C47" s="2" t="s">
        <v>312</v>
      </c>
      <c r="D47" s="2" t="s">
        <v>313</v>
      </c>
      <c r="E47" s="2" t="str">
        <f t="shared" si="6"/>
        <v>03088867190</v>
      </c>
      <c r="F47" s="2" t="str">
        <f>TRIM(PROPER(Raw_Data!E57))</f>
        <v>Faisalabad</v>
      </c>
      <c r="G47" s="2" t="str">
        <f>TRIM(PROPER(Raw_Data!F57))</f>
        <v>Microwave Oven</v>
      </c>
      <c r="H47" s="2" t="s">
        <v>27</v>
      </c>
      <c r="I47" s="17">
        <v>46222</v>
      </c>
      <c r="J47" s="28">
        <v>1</v>
      </c>
      <c r="K47" s="21">
        <v>85000</v>
      </c>
      <c r="L47" s="25">
        <f t="shared" si="7"/>
        <v>85000</v>
      </c>
      <c r="M47" s="2" t="s">
        <v>20</v>
      </c>
      <c r="N47" s="2" t="s">
        <v>515</v>
      </c>
      <c r="O47" s="13">
        <v>46224</v>
      </c>
      <c r="P47" t="str">
        <f t="shared" si="8"/>
        <v>ORD</v>
      </c>
      <c r="Q47" t="str">
        <f t="shared" si="9"/>
        <v>1054</v>
      </c>
      <c r="R47">
        <f t="shared" si="10"/>
        <v>4</v>
      </c>
      <c r="S47" t="str">
        <f t="shared" si="11"/>
        <v>1054</v>
      </c>
    </row>
    <row r="48" spans="1:19" x14ac:dyDescent="0.35">
      <c r="A48" s="2" t="s">
        <v>481</v>
      </c>
      <c r="B48" s="2" t="str">
        <f>CLEAN(TRIM(Raw_Data!B103))</f>
        <v>Ali Aslam</v>
      </c>
      <c r="C48" s="2" t="s">
        <v>483</v>
      </c>
      <c r="D48" s="2" t="s">
        <v>484</v>
      </c>
      <c r="E48" s="2" t="str">
        <f t="shared" si="6"/>
        <v>03833283789</v>
      </c>
      <c r="F48" s="2" t="str">
        <f>TRIM(PROPER(Raw_Data!E103))</f>
        <v>Rawalpindi</v>
      </c>
      <c r="G48" s="2" t="str">
        <f>TRIM(PROPER(Raw_Data!F103))</f>
        <v>Handbag</v>
      </c>
      <c r="H48" s="2" t="s">
        <v>77</v>
      </c>
      <c r="I48" s="17">
        <v>46240</v>
      </c>
      <c r="J48" s="28">
        <v>3</v>
      </c>
      <c r="K48" s="21">
        <v>25000</v>
      </c>
      <c r="L48" s="25">
        <f t="shared" si="7"/>
        <v>75000</v>
      </c>
      <c r="M48" s="2" t="s">
        <v>28</v>
      </c>
      <c r="N48" s="2" t="s">
        <v>515</v>
      </c>
      <c r="O48" s="13">
        <v>46243</v>
      </c>
      <c r="P48" t="str">
        <f t="shared" si="8"/>
        <v>ORD</v>
      </c>
      <c r="Q48" t="str">
        <f t="shared" si="9"/>
        <v>1098</v>
      </c>
      <c r="R48">
        <f t="shared" si="10"/>
        <v>4</v>
      </c>
      <c r="S48" t="str">
        <f t="shared" si="11"/>
        <v>1098</v>
      </c>
    </row>
    <row r="49" spans="1:19" x14ac:dyDescent="0.35">
      <c r="A49" s="2" t="s">
        <v>278</v>
      </c>
      <c r="B49" s="2" t="str">
        <f>CLEAN(TRIM(Raw_Data!B50))</f>
        <v>Rabia Awan</v>
      </c>
      <c r="C49" s="2" t="s">
        <v>280</v>
      </c>
      <c r="D49" s="2" t="s">
        <v>281</v>
      </c>
      <c r="E49" s="2" t="str">
        <f t="shared" si="6"/>
        <v>03648217547</v>
      </c>
      <c r="F49" s="2" t="str">
        <f>TRIM(PROPER(Raw_Data!E50))</f>
        <v>Karachi</v>
      </c>
      <c r="G49" s="2" t="str">
        <f>TRIM(PROPER(Raw_Data!F50))</f>
        <v>Sofa Set</v>
      </c>
      <c r="H49" s="2" t="s">
        <v>45</v>
      </c>
      <c r="I49" s="17">
        <v>46210</v>
      </c>
      <c r="J49" s="28">
        <v>4</v>
      </c>
      <c r="K49" s="21">
        <v>18000</v>
      </c>
      <c r="L49" s="25">
        <f t="shared" si="7"/>
        <v>72000</v>
      </c>
      <c r="M49" s="2" t="s">
        <v>28</v>
      </c>
      <c r="N49" s="2" t="s">
        <v>29</v>
      </c>
      <c r="O49" s="13">
        <v>46214</v>
      </c>
      <c r="P49" t="str">
        <f t="shared" si="8"/>
        <v>ORD</v>
      </c>
      <c r="Q49" t="str">
        <f t="shared" si="9"/>
        <v>1047</v>
      </c>
      <c r="R49">
        <f t="shared" si="10"/>
        <v>4</v>
      </c>
      <c r="S49" t="str">
        <f t="shared" si="11"/>
        <v>1047</v>
      </c>
    </row>
    <row r="50" spans="1:19" x14ac:dyDescent="0.35">
      <c r="A50" s="2" t="s">
        <v>345</v>
      </c>
      <c r="B50" s="2" t="str">
        <f>CLEAN(TRIM(Raw_Data!B65))</f>
        <v>Hira Malik</v>
      </c>
      <c r="C50" s="2" t="s">
        <v>347</v>
      </c>
      <c r="D50" s="2" t="s">
        <v>348</v>
      </c>
      <c r="E50" s="2" t="str">
        <f t="shared" si="6"/>
        <v>03639993490</v>
      </c>
      <c r="F50" s="2" t="str">
        <f>TRIM(PROPER(Raw_Data!E65))</f>
        <v>Rawalpindi</v>
      </c>
      <c r="G50" s="2" t="str">
        <f>TRIM(PROPER(Raw_Data!F65))</f>
        <v>Sunglasses</v>
      </c>
      <c r="H50" s="2" t="s">
        <v>77</v>
      </c>
      <c r="I50" s="17">
        <v>46246</v>
      </c>
      <c r="J50" s="28">
        <v>1</v>
      </c>
      <c r="K50" s="21">
        <v>65000</v>
      </c>
      <c r="L50" s="25">
        <f t="shared" si="7"/>
        <v>65000</v>
      </c>
      <c r="M50" s="2" t="s">
        <v>46</v>
      </c>
      <c r="N50" s="2" t="s">
        <v>515</v>
      </c>
      <c r="O50" s="13">
        <v>46253</v>
      </c>
      <c r="P50" t="str">
        <f t="shared" si="8"/>
        <v>ORD</v>
      </c>
      <c r="Q50" t="str">
        <f t="shared" si="9"/>
        <v>1061</v>
      </c>
      <c r="R50">
        <f t="shared" si="10"/>
        <v>4</v>
      </c>
      <c r="S50" t="str">
        <f t="shared" si="11"/>
        <v>1061</v>
      </c>
    </row>
    <row r="51" spans="1:19" x14ac:dyDescent="0.35">
      <c r="A51" s="2" t="s">
        <v>424</v>
      </c>
      <c r="B51" s="2" t="str">
        <f>CLEAN(TRIM(Raw_Data!B87))</f>
        <v>Salman Chaudhry</v>
      </c>
      <c r="C51" s="2" t="s">
        <v>426</v>
      </c>
      <c r="D51" s="2" t="s">
        <v>427</v>
      </c>
      <c r="E51" s="2" t="str">
        <f t="shared" si="6"/>
        <v>03613570027</v>
      </c>
      <c r="F51" s="2" t="str">
        <f>TRIM(PROPER(Raw_Data!E87))</f>
        <v>Multan</v>
      </c>
      <c r="G51" s="2" t="str">
        <f>TRIM(PROPER(Raw_Data!F87))</f>
        <v>Blender</v>
      </c>
      <c r="H51" s="2" t="s">
        <v>27</v>
      </c>
      <c r="I51" s="17">
        <v>46247</v>
      </c>
      <c r="J51" s="28">
        <v>1</v>
      </c>
      <c r="K51" s="21">
        <v>65000</v>
      </c>
      <c r="L51" s="25">
        <f t="shared" si="7"/>
        <v>65000</v>
      </c>
      <c r="M51" s="2" t="s">
        <v>102</v>
      </c>
      <c r="N51" s="2" t="s">
        <v>29</v>
      </c>
      <c r="O51" s="13">
        <v>46253</v>
      </c>
      <c r="P51" t="str">
        <f t="shared" si="8"/>
        <v>ORD</v>
      </c>
      <c r="Q51" t="str">
        <f t="shared" si="9"/>
        <v>1082</v>
      </c>
      <c r="R51">
        <f t="shared" si="10"/>
        <v>4</v>
      </c>
      <c r="S51" t="str">
        <f t="shared" si="11"/>
        <v>1082</v>
      </c>
    </row>
    <row r="52" spans="1:19" x14ac:dyDescent="0.35">
      <c r="A52" s="2" t="s">
        <v>178</v>
      </c>
      <c r="B52" s="2" t="str">
        <f>CLEAN(TRIM(Raw_Data!B29))</f>
        <v>Zeeshan Farooq</v>
      </c>
      <c r="C52" s="2" t="s">
        <v>180</v>
      </c>
      <c r="D52" s="2" t="s">
        <v>181</v>
      </c>
      <c r="E52" s="2" t="str">
        <f t="shared" si="6"/>
        <v>03759801946</v>
      </c>
      <c r="F52" s="2" t="str">
        <f>TRIM(PROPER(Raw_Data!E29))</f>
        <v>Karachi</v>
      </c>
      <c r="G52" s="2" t="str">
        <f>TRIM(PROPER(Raw_Data!F29))</f>
        <v>Jacket</v>
      </c>
      <c r="H52" s="2" t="str">
        <f>TRIM(PROPER(Raw_Data!G29))</f>
        <v>Apparel</v>
      </c>
      <c r="I52" s="17">
        <v>46206</v>
      </c>
      <c r="J52" s="28">
        <v>5</v>
      </c>
      <c r="K52" s="21">
        <v>12000</v>
      </c>
      <c r="L52" s="25">
        <f t="shared" si="7"/>
        <v>60000</v>
      </c>
      <c r="M52" s="2" t="s">
        <v>20</v>
      </c>
      <c r="N52" s="2" t="s">
        <v>90</v>
      </c>
      <c r="O52" s="13">
        <v>46208</v>
      </c>
      <c r="P52" t="str">
        <f t="shared" si="8"/>
        <v>ORD</v>
      </c>
      <c r="Q52" t="str">
        <f t="shared" si="9"/>
        <v>1028</v>
      </c>
      <c r="R52">
        <f t="shared" si="10"/>
        <v>4</v>
      </c>
      <c r="S52" t="str">
        <f t="shared" si="11"/>
        <v>1028</v>
      </c>
    </row>
    <row r="53" spans="1:19" x14ac:dyDescent="0.35">
      <c r="A53" s="2" t="s">
        <v>282</v>
      </c>
      <c r="B53" s="2" t="str">
        <f>CLEAN(TRIM(Raw_Data!B51))</f>
        <v>Faisal Ali</v>
      </c>
      <c r="C53" s="2" t="s">
        <v>284</v>
      </c>
      <c r="D53" s="2" t="s">
        <v>285</v>
      </c>
      <c r="E53" s="2" t="str">
        <f t="shared" si="6"/>
        <v>03162006313</v>
      </c>
      <c r="F53" s="2" t="str">
        <f>TRIM(PROPER(Raw_Data!E51))</f>
        <v>Multan</v>
      </c>
      <c r="G53" s="2" t="str">
        <f>TRIM(PROPER(Raw_Data!F51))</f>
        <v>Jacket</v>
      </c>
      <c r="H53" s="2" t="s">
        <v>171</v>
      </c>
      <c r="I53" s="17">
        <v>46207</v>
      </c>
      <c r="J53" s="28">
        <v>5</v>
      </c>
      <c r="K53" s="21">
        <v>12000</v>
      </c>
      <c r="L53" s="25">
        <f t="shared" si="7"/>
        <v>60000</v>
      </c>
      <c r="M53" s="2" t="s">
        <v>46</v>
      </c>
      <c r="N53" s="2" t="s">
        <v>515</v>
      </c>
      <c r="O53" s="13">
        <v>46211</v>
      </c>
      <c r="P53" t="str">
        <f t="shared" si="8"/>
        <v>ORD</v>
      </c>
      <c r="Q53" t="str">
        <f t="shared" si="9"/>
        <v>1048</v>
      </c>
      <c r="R53">
        <f t="shared" si="10"/>
        <v>4</v>
      </c>
      <c r="S53" t="str">
        <f t="shared" si="11"/>
        <v>1048</v>
      </c>
    </row>
    <row r="54" spans="1:19" x14ac:dyDescent="0.35">
      <c r="A54" s="2" t="s">
        <v>362</v>
      </c>
      <c r="B54" s="2" t="str">
        <f>CLEAN(TRIM(Raw_Data!B69))</f>
        <v>Hamza Javed</v>
      </c>
      <c r="C54" s="2" t="s">
        <v>364</v>
      </c>
      <c r="D54" s="2" t="s">
        <v>365</v>
      </c>
      <c r="E54" s="2" t="str">
        <f t="shared" si="6"/>
        <v>03097815076</v>
      </c>
      <c r="F54" s="2" t="str">
        <f>TRIM(PROPER(Raw_Data!E69))</f>
        <v>Islamabad</v>
      </c>
      <c r="G54" s="2" t="str">
        <f>TRIM(PROPER(Raw_Data!F69))</f>
        <v>Water Dispenser </v>
      </c>
      <c r="H54" s="2" t="s">
        <v>27</v>
      </c>
      <c r="I54" s="17">
        <v>46253</v>
      </c>
      <c r="J54" s="28">
        <v>3</v>
      </c>
      <c r="K54" s="21">
        <v>18000</v>
      </c>
      <c r="L54" s="25">
        <f t="shared" si="7"/>
        <v>54000</v>
      </c>
      <c r="M54" s="2" t="s">
        <v>46</v>
      </c>
      <c r="N54" s="2" t="s">
        <v>29</v>
      </c>
      <c r="O54" s="13">
        <v>46260</v>
      </c>
      <c r="P54" t="str">
        <f t="shared" si="8"/>
        <v>ORD</v>
      </c>
      <c r="Q54" t="str">
        <f t="shared" si="9"/>
        <v>1065</v>
      </c>
      <c r="R54">
        <f t="shared" si="10"/>
        <v>4</v>
      </c>
      <c r="S54" t="str">
        <f t="shared" si="11"/>
        <v>1065</v>
      </c>
    </row>
    <row r="55" spans="1:19" x14ac:dyDescent="0.35">
      <c r="A55" s="2" t="s">
        <v>237</v>
      </c>
      <c r="B55" s="2" t="str">
        <f>CLEAN(TRIM(Raw_Data!B41))</f>
        <v>Nida Abbasi</v>
      </c>
      <c r="C55" s="2" t="s">
        <v>239</v>
      </c>
      <c r="D55" s="2" t="s">
        <v>240</v>
      </c>
      <c r="E55" s="2" t="str">
        <f t="shared" si="6"/>
        <v>03851157662</v>
      </c>
      <c r="F55" s="2" t="str">
        <f>TRIM(PROPER(Raw_Data!E41))</f>
        <v>Islamabad</v>
      </c>
      <c r="G55" s="2" t="str">
        <f>TRIM(PROPER(Raw_Data!F41))</f>
        <v>Jacket</v>
      </c>
      <c r="H55" s="2" t="str">
        <f>TRIM(PROPER(Raw_Data!G41))</f>
        <v>Apparel</v>
      </c>
      <c r="I55" s="17">
        <v>46233</v>
      </c>
      <c r="J55" s="28">
        <v>2</v>
      </c>
      <c r="K55" s="21">
        <v>25000</v>
      </c>
      <c r="L55" s="25">
        <f t="shared" si="7"/>
        <v>50000</v>
      </c>
      <c r="M55" s="2" t="s">
        <v>102</v>
      </c>
      <c r="N55" s="2" t="s">
        <v>515</v>
      </c>
      <c r="O55" s="13">
        <v>46237</v>
      </c>
      <c r="P55" t="str">
        <f t="shared" si="8"/>
        <v>ORD</v>
      </c>
      <c r="Q55" t="str">
        <f t="shared" si="9"/>
        <v>1039</v>
      </c>
      <c r="R55">
        <f t="shared" si="10"/>
        <v>4</v>
      </c>
      <c r="S55" t="str">
        <f t="shared" si="11"/>
        <v>1039</v>
      </c>
    </row>
    <row r="56" spans="1:19" x14ac:dyDescent="0.35">
      <c r="A56" s="2" t="s">
        <v>192</v>
      </c>
      <c r="B56" s="2" t="str">
        <f>CLEAN(TRIM(Raw_Data!B32))</f>
        <v>Asad Chaudhry</v>
      </c>
      <c r="C56" s="2" t="s">
        <v>194</v>
      </c>
      <c r="D56" s="2" t="s">
        <v>195</v>
      </c>
      <c r="E56" s="2" t="str">
        <f t="shared" si="6"/>
        <v>03942664863</v>
      </c>
      <c r="F56" s="2" t="str">
        <f>TRIM(PROPER(Raw_Data!E32))</f>
        <v>Faisalabad</v>
      </c>
      <c r="G56" s="2" t="str">
        <f>TRIM(PROPER(Raw_Data!F32))</f>
        <v>Sofa Set</v>
      </c>
      <c r="H56" s="2" t="str">
        <f>TRIM(PROPER(Raw_Data!G32))</f>
        <v>Furniture</v>
      </c>
      <c r="I56" s="17">
        <v>46248</v>
      </c>
      <c r="J56" s="28">
        <v>4</v>
      </c>
      <c r="K56" s="21">
        <v>12000</v>
      </c>
      <c r="L56" s="25">
        <f t="shared" si="7"/>
        <v>48000</v>
      </c>
      <c r="M56" s="2" t="s">
        <v>20</v>
      </c>
      <c r="N56" s="2" t="s">
        <v>90</v>
      </c>
      <c r="O56" s="13">
        <v>46254</v>
      </c>
      <c r="P56" t="str">
        <f t="shared" si="8"/>
        <v>ORD</v>
      </c>
      <c r="Q56" t="str">
        <f t="shared" si="9"/>
        <v>1030</v>
      </c>
      <c r="R56">
        <f t="shared" si="10"/>
        <v>4</v>
      </c>
      <c r="S56" t="str">
        <f t="shared" si="11"/>
        <v>1030</v>
      </c>
    </row>
    <row r="57" spans="1:19" x14ac:dyDescent="0.35">
      <c r="A57" s="2" t="s">
        <v>460</v>
      </c>
      <c r="B57" s="2" t="str">
        <f>CLEAN(TRIM(Raw_Data!B98))</f>
        <v>Zainab Ahmed</v>
      </c>
      <c r="C57" s="2" t="s">
        <v>462</v>
      </c>
      <c r="D57" s="2" t="s">
        <v>463</v>
      </c>
      <c r="E57" s="2" t="str">
        <f t="shared" si="6"/>
        <v>03893875339</v>
      </c>
      <c r="F57" s="2" t="str">
        <f>TRIM(PROPER(Raw_Data!E98))</f>
        <v>Peshawar</v>
      </c>
      <c r="G57" s="2" t="str">
        <f>TRIM(PROPER(Raw_Data!F98))</f>
        <v>Air Fryer</v>
      </c>
      <c r="H57" s="2" t="s">
        <v>27</v>
      </c>
      <c r="I57" s="17">
        <v>46248</v>
      </c>
      <c r="J57" s="28">
        <v>4</v>
      </c>
      <c r="K57" s="21">
        <v>12000</v>
      </c>
      <c r="L57" s="25">
        <f t="shared" si="7"/>
        <v>48000</v>
      </c>
      <c r="M57" s="2" t="s">
        <v>20</v>
      </c>
      <c r="N57" s="2" t="s">
        <v>90</v>
      </c>
      <c r="O57" s="13">
        <v>46254</v>
      </c>
      <c r="P57" t="str">
        <f t="shared" si="8"/>
        <v>ORD</v>
      </c>
      <c r="Q57" t="str">
        <f t="shared" si="9"/>
        <v>1093</v>
      </c>
      <c r="R57">
        <f t="shared" si="10"/>
        <v>4</v>
      </c>
      <c r="S57" t="str">
        <f t="shared" si="11"/>
        <v>1093</v>
      </c>
    </row>
    <row r="58" spans="1:19" x14ac:dyDescent="0.35">
      <c r="A58" s="2" t="s">
        <v>273</v>
      </c>
      <c r="B58" s="2" t="str">
        <f>CLEAN(TRIM(Raw_Data!B49))</f>
        <v>Ali Raza</v>
      </c>
      <c r="C58" s="2" t="s">
        <v>275</v>
      </c>
      <c r="D58" s="2" t="s">
        <v>276</v>
      </c>
      <c r="E58" s="2" t="str">
        <f t="shared" si="6"/>
        <v>03894431161</v>
      </c>
      <c r="F58" s="2" t="str">
        <f>TRIM(PROPER(Raw_Data!E49))</f>
        <v>Multan</v>
      </c>
      <c r="G58" s="2" t="str">
        <f>TRIM(PROPER(Raw_Data!F49))</f>
        <v>Vacuum Cleaner</v>
      </c>
      <c r="H58" s="2" t="s">
        <v>27</v>
      </c>
      <c r="I58" s="17">
        <v>46235</v>
      </c>
      <c r="J58" s="28">
        <v>1</v>
      </c>
      <c r="K58" s="21">
        <v>45000</v>
      </c>
      <c r="L58" s="25">
        <f t="shared" si="7"/>
        <v>45000</v>
      </c>
      <c r="M58" s="2" t="s">
        <v>46</v>
      </c>
      <c r="N58" s="2" t="s">
        <v>29</v>
      </c>
      <c r="O58" s="13">
        <v>46240</v>
      </c>
      <c r="P58" t="str">
        <f t="shared" si="8"/>
        <v>ORD</v>
      </c>
      <c r="Q58" t="str">
        <f t="shared" si="9"/>
        <v>1089</v>
      </c>
      <c r="R58">
        <f t="shared" si="10"/>
        <v>4</v>
      </c>
      <c r="S58" t="str">
        <f t="shared" si="11"/>
        <v>1089</v>
      </c>
    </row>
    <row r="59" spans="1:19" x14ac:dyDescent="0.35">
      <c r="A59" s="2" t="s">
        <v>485</v>
      </c>
      <c r="B59" s="2" t="str">
        <f>CLEAN(TRIM(Raw_Data!B104))</f>
        <v>Naveed Raza</v>
      </c>
      <c r="C59" s="2" t="s">
        <v>487</v>
      </c>
      <c r="D59" s="2" t="s">
        <v>488</v>
      </c>
      <c r="E59" s="2" t="str">
        <f t="shared" si="6"/>
        <v>03594517316</v>
      </c>
      <c r="F59" s="2" t="str">
        <f>TRIM(PROPER(Raw_Data!E104))</f>
        <v>Karachi</v>
      </c>
      <c r="G59" s="2" t="str">
        <f>TRIM(PROPER(Raw_Data!F104))</f>
        <v>Led Tv</v>
      </c>
      <c r="H59" s="2" t="s">
        <v>95</v>
      </c>
      <c r="I59" s="17">
        <v>46231</v>
      </c>
      <c r="J59" s="28">
        <v>1</v>
      </c>
      <c r="K59" s="21">
        <v>45000</v>
      </c>
      <c r="L59" s="25">
        <f t="shared" si="7"/>
        <v>45000</v>
      </c>
      <c r="M59" s="2" t="s">
        <v>20</v>
      </c>
      <c r="N59" s="2" t="s">
        <v>515</v>
      </c>
      <c r="O59" s="13">
        <v>46236</v>
      </c>
      <c r="P59" t="str">
        <f t="shared" si="8"/>
        <v>ORD</v>
      </c>
      <c r="Q59" t="str">
        <f t="shared" si="9"/>
        <v>1099</v>
      </c>
      <c r="R59">
        <f t="shared" si="10"/>
        <v>4</v>
      </c>
      <c r="S59" t="str">
        <f t="shared" si="11"/>
        <v>1099</v>
      </c>
    </row>
    <row r="60" spans="1:19" x14ac:dyDescent="0.35">
      <c r="A60" s="2" t="s">
        <v>128</v>
      </c>
      <c r="B60" s="2" t="str">
        <f>CLEAN(TRIM(Raw_Data!B20))</f>
        <v>Faisal Awan</v>
      </c>
      <c r="C60" s="2" t="s">
        <v>130</v>
      </c>
      <c r="D60" s="2" t="s">
        <v>131</v>
      </c>
      <c r="E60" s="2" t="str">
        <f t="shared" si="6"/>
        <v>03917442089</v>
      </c>
      <c r="F60" s="2" t="str">
        <f>TRIM(PROPER(Raw_Data!E20))</f>
        <v>Islamabad</v>
      </c>
      <c r="G60" s="2" t="str">
        <f>TRIM(PROPER(Raw_Data!F20))</f>
        <v>Smart Watch</v>
      </c>
      <c r="H60" s="2" t="str">
        <f>TRIM(PROPER(Raw_Data!G20))</f>
        <v>Electronics</v>
      </c>
      <c r="I60" s="17">
        <v>46233</v>
      </c>
      <c r="J60" s="28">
        <v>5</v>
      </c>
      <c r="K60" s="21">
        <v>8500</v>
      </c>
      <c r="L60" s="25">
        <f t="shared" si="7"/>
        <v>42500</v>
      </c>
      <c r="M60" s="2" t="s">
        <v>20</v>
      </c>
      <c r="N60" s="2" t="s">
        <v>90</v>
      </c>
      <c r="O60" s="13">
        <v>46235</v>
      </c>
      <c r="P60" t="str">
        <f t="shared" si="8"/>
        <v>ORD</v>
      </c>
      <c r="Q60" t="str">
        <f t="shared" si="9"/>
        <v>1019</v>
      </c>
      <c r="R60">
        <f t="shared" si="10"/>
        <v>4</v>
      </c>
      <c r="S60" t="str">
        <f t="shared" si="11"/>
        <v>1019</v>
      </c>
    </row>
    <row r="61" spans="1:19" x14ac:dyDescent="0.35">
      <c r="A61" s="2" t="s">
        <v>251</v>
      </c>
      <c r="B61" s="2" t="str">
        <f>CLEAN(TRIM(Raw_Data!B44))</f>
        <v>Tariq Aslam</v>
      </c>
      <c r="C61" s="2" t="s">
        <v>253</v>
      </c>
      <c r="D61" s="2" t="s">
        <v>254</v>
      </c>
      <c r="E61" s="2" t="str">
        <f t="shared" si="6"/>
        <v>03158630043</v>
      </c>
      <c r="F61" s="2" t="str">
        <f>TRIM(PROPER(Raw_Data!E44))</f>
        <v>Faisalabad</v>
      </c>
      <c r="G61" s="2" t="str">
        <f>TRIM(PROPER(Raw_Data!F44))</f>
        <v>Jacket</v>
      </c>
      <c r="H61" s="2" t="str">
        <f>TRIM(PROPER(Raw_Data!G44))</f>
        <v>Apparel</v>
      </c>
      <c r="I61" s="17">
        <v>46239</v>
      </c>
      <c r="J61" s="28">
        <v>5</v>
      </c>
      <c r="K61" s="21">
        <v>8500</v>
      </c>
      <c r="L61" s="25">
        <f t="shared" si="7"/>
        <v>42500</v>
      </c>
      <c r="M61" s="2" t="s">
        <v>20</v>
      </c>
      <c r="N61" s="2" t="s">
        <v>515</v>
      </c>
      <c r="O61" s="13">
        <v>46243</v>
      </c>
      <c r="P61" t="str">
        <f t="shared" si="8"/>
        <v>ORD</v>
      </c>
      <c r="Q61" t="str">
        <f t="shared" si="9"/>
        <v>1042</v>
      </c>
      <c r="R61">
        <f t="shared" si="10"/>
        <v>4</v>
      </c>
      <c r="S61" t="str">
        <f t="shared" si="11"/>
        <v>1042</v>
      </c>
    </row>
    <row r="62" spans="1:19" x14ac:dyDescent="0.35">
      <c r="A62" s="2" t="s">
        <v>295</v>
      </c>
      <c r="B62" s="2" t="str">
        <f>CLEAN(TRIM(Raw_Data!B54))</f>
        <v>Sadia Malik</v>
      </c>
      <c r="C62" s="2" t="s">
        <v>297</v>
      </c>
      <c r="D62" s="2" t="s">
        <v>298</v>
      </c>
      <c r="E62" s="2" t="str">
        <f t="shared" si="6"/>
        <v>03761919088</v>
      </c>
      <c r="F62" s="2" t="str">
        <f>TRIM(PROPER(Raw_Data!E54))</f>
        <v>Rawalpindi</v>
      </c>
      <c r="G62" s="2" t="str">
        <f>TRIM(PROPER(Raw_Data!F54))</f>
        <v>Running Shoes</v>
      </c>
      <c r="H62" s="2" t="s">
        <v>171</v>
      </c>
      <c r="I62" s="17">
        <v>46212</v>
      </c>
      <c r="J62" s="28">
        <v>5</v>
      </c>
      <c r="K62" s="21">
        <v>8500</v>
      </c>
      <c r="L62" s="25">
        <f t="shared" si="7"/>
        <v>42500</v>
      </c>
      <c r="M62" s="2" t="s">
        <v>102</v>
      </c>
      <c r="N62" s="2" t="s">
        <v>90</v>
      </c>
      <c r="O62" s="13">
        <v>46217</v>
      </c>
      <c r="P62" t="str">
        <f t="shared" si="8"/>
        <v>ORD</v>
      </c>
      <c r="Q62" t="str">
        <f t="shared" si="9"/>
        <v>1051</v>
      </c>
      <c r="R62">
        <f t="shared" si="10"/>
        <v>4</v>
      </c>
      <c r="S62" t="str">
        <f t="shared" si="11"/>
        <v>1051</v>
      </c>
    </row>
    <row r="63" spans="1:19" x14ac:dyDescent="0.35">
      <c r="A63" s="2" t="s">
        <v>443</v>
      </c>
      <c r="B63" s="2" t="str">
        <f>CLEAN(TRIM(Raw_Data!B93))</f>
        <v>Hassan Aslam</v>
      </c>
      <c r="C63" s="2" t="s">
        <v>512</v>
      </c>
      <c r="D63" s="2" t="s">
        <v>446</v>
      </c>
      <c r="E63" s="2" t="str">
        <f t="shared" si="6"/>
        <v>03472551288</v>
      </c>
      <c r="F63" s="2" t="str">
        <f>TRIM(PROPER(Raw_Data!E93))</f>
        <v>Rawalpindi</v>
      </c>
      <c r="G63" s="2" t="str">
        <f>TRIM(PROPER(Raw_Data!F93))</f>
        <v>Water Dispenser </v>
      </c>
      <c r="H63" s="2" t="s">
        <v>495</v>
      </c>
      <c r="I63" s="17">
        <v>46241</v>
      </c>
      <c r="J63" s="28">
        <v>5</v>
      </c>
      <c r="K63" s="21">
        <v>8500</v>
      </c>
      <c r="L63" s="25">
        <f t="shared" si="7"/>
        <v>42500</v>
      </c>
      <c r="M63" s="2" t="s">
        <v>102</v>
      </c>
      <c r="N63" s="2" t="s">
        <v>29</v>
      </c>
      <c r="O63" s="13">
        <v>46248</v>
      </c>
      <c r="P63" t="str">
        <f t="shared" si="8"/>
        <v>ORD</v>
      </c>
      <c r="Q63" t="str">
        <f t="shared" si="9"/>
        <v>1088</v>
      </c>
      <c r="R63">
        <f t="shared" si="10"/>
        <v>4</v>
      </c>
      <c r="S63" t="str">
        <f t="shared" si="11"/>
        <v>1088</v>
      </c>
    </row>
    <row r="64" spans="1:19" x14ac:dyDescent="0.35">
      <c r="A64" s="2" t="s">
        <v>315</v>
      </c>
      <c r="B64" s="2" t="str">
        <f>CLEAN(TRIM(Raw_Data!B58))</f>
        <v>Hamza Baig</v>
      </c>
      <c r="C64" s="2" t="s">
        <v>317</v>
      </c>
      <c r="D64" s="2" t="s">
        <v>318</v>
      </c>
      <c r="E64" s="2" t="str">
        <f t="shared" si="6"/>
        <v>03078558523</v>
      </c>
      <c r="F64" s="2" t="str">
        <f>TRIM(PROPER(Raw_Data!E58))</f>
        <v>Multan</v>
      </c>
      <c r="G64" s="2" t="str">
        <f>TRIM(PROPER(Raw_Data!F58))</f>
        <v>Office Chair</v>
      </c>
      <c r="H64" s="2" t="s">
        <v>45</v>
      </c>
      <c r="I64" s="17">
        <v>46237</v>
      </c>
      <c r="J64" s="28">
        <v>2</v>
      </c>
      <c r="K64" s="21">
        <v>18000</v>
      </c>
      <c r="L64" s="25">
        <f t="shared" si="7"/>
        <v>36000</v>
      </c>
      <c r="M64" s="2" t="s">
        <v>46</v>
      </c>
      <c r="N64" s="2" t="s">
        <v>515</v>
      </c>
      <c r="O64" s="13">
        <v>46243</v>
      </c>
      <c r="P64" t="str">
        <f t="shared" si="8"/>
        <v>ORD</v>
      </c>
      <c r="Q64" t="str">
        <f t="shared" si="9"/>
        <v>1055</v>
      </c>
      <c r="R64">
        <f t="shared" si="10"/>
        <v>4</v>
      </c>
      <c r="S64" t="str">
        <f t="shared" si="11"/>
        <v>1055</v>
      </c>
    </row>
    <row r="65" spans="1:19" x14ac:dyDescent="0.35">
      <c r="A65" s="2" t="s">
        <v>66</v>
      </c>
      <c r="B65" s="2" t="str">
        <f>CLEAN(TRIM(Raw_Data!B9))</f>
        <v>Rida Iqbal</v>
      </c>
      <c r="C65" s="2" t="s">
        <v>68</v>
      </c>
      <c r="D65" s="2" t="s">
        <v>69</v>
      </c>
      <c r="E65" s="2" t="str">
        <f t="shared" si="6"/>
        <v>03046543670</v>
      </c>
      <c r="F65" s="2" t="str">
        <f>TRIM(PROPER(Raw_Data!E9))</f>
        <v>Faisalabad</v>
      </c>
      <c r="G65" s="2" t="str">
        <f>TRIM(PROPER(Raw_Data!F9))</f>
        <v>Vacuum Cleaner</v>
      </c>
      <c r="H65" s="2" t="str">
        <f>TRIM(PROPER(Raw_Data!G9))</f>
        <v>Home Appliances</v>
      </c>
      <c r="I65" s="17">
        <v>46219</v>
      </c>
      <c r="J65" s="28">
        <v>4</v>
      </c>
      <c r="K65" s="21">
        <v>8500</v>
      </c>
      <c r="L65" s="25">
        <f t="shared" si="7"/>
        <v>34000</v>
      </c>
      <c r="M65" s="2" t="s">
        <v>20</v>
      </c>
      <c r="N65" s="2" t="s">
        <v>515</v>
      </c>
      <c r="O65" s="13">
        <v>46224</v>
      </c>
      <c r="P65" t="str">
        <f t="shared" si="8"/>
        <v>ORD</v>
      </c>
      <c r="Q65" t="str">
        <f t="shared" si="9"/>
        <v>1008</v>
      </c>
      <c r="R65">
        <f t="shared" si="10"/>
        <v>4</v>
      </c>
      <c r="S65" t="str">
        <f t="shared" si="11"/>
        <v>1008</v>
      </c>
    </row>
    <row r="66" spans="1:19" x14ac:dyDescent="0.35">
      <c r="A66" s="2" t="s">
        <v>388</v>
      </c>
      <c r="B66" s="2" t="str">
        <f>CLEAN(TRIM(Raw_Data!B75))</f>
        <v>Faisal Baig</v>
      </c>
      <c r="C66" s="2" t="s">
        <v>390</v>
      </c>
      <c r="D66" s="2" t="s">
        <v>391</v>
      </c>
      <c r="E66" s="2" t="str">
        <f t="shared" ref="E66:E97" si="12">SUBSTITUTE(SUBSTITUTE(D66,"-","")," ","")</f>
        <v>03447689354</v>
      </c>
      <c r="F66" s="2" t="str">
        <f>TRIM(PROPER(Raw_Data!E75))</f>
        <v>Karachi</v>
      </c>
      <c r="G66" s="2" t="str">
        <f>TRIM(PROPER(Raw_Data!F75))</f>
        <v>Smart Watch</v>
      </c>
      <c r="H66" s="2" t="s">
        <v>95</v>
      </c>
      <c r="I66" s="17">
        <v>46228</v>
      </c>
      <c r="J66" s="28">
        <v>4</v>
      </c>
      <c r="K66" s="21">
        <v>8500</v>
      </c>
      <c r="L66" s="25">
        <f t="shared" ref="L66:L97" si="13">J66*K66</f>
        <v>34000</v>
      </c>
      <c r="M66" s="2" t="s">
        <v>20</v>
      </c>
      <c r="N66" s="2" t="s">
        <v>515</v>
      </c>
      <c r="O66" s="13">
        <v>46234</v>
      </c>
      <c r="P66" t="str">
        <f t="shared" ref="P66:P97" si="14">LEFT(A66,3)</f>
        <v>ORD</v>
      </c>
      <c r="Q66" t="str">
        <f t="shared" ref="Q66:Q97" si="15">RIGHT(A66,4)</f>
        <v>1071</v>
      </c>
      <c r="R66">
        <f t="shared" ref="R66:R97" si="16">FIND("-",A66)</f>
        <v>4</v>
      </c>
      <c r="S66" t="str">
        <f t="shared" ref="S66:S97" si="17">MID(A66,FIND("-",A66)+1,4)</f>
        <v>1071</v>
      </c>
    </row>
    <row r="67" spans="1:19" x14ac:dyDescent="0.35">
      <c r="A67" s="2" t="s">
        <v>85</v>
      </c>
      <c r="B67" s="2" t="str">
        <f>CLEAN(TRIM(Raw_Data!B12))</f>
        <v>Anum Sheikh</v>
      </c>
      <c r="C67" s="2" t="s">
        <v>514</v>
      </c>
      <c r="D67" s="2" t="s">
        <v>88</v>
      </c>
      <c r="E67" s="2" t="str">
        <f t="shared" si="12"/>
        <v>03307774229</v>
      </c>
      <c r="F67" s="2" t="str">
        <f>TRIM(PROPER(Raw_Data!E12))</f>
        <v>Rawalpindi</v>
      </c>
      <c r="G67" s="2" t="str">
        <f>TRIM(PROPER(Raw_Data!F12))</f>
        <v>Water Dispenser</v>
      </c>
      <c r="H67" s="2" t="str">
        <f>TRIM(PROPER(Raw_Data!G12))</f>
        <v>Home Appliances</v>
      </c>
      <c r="I67" s="17">
        <v>46220</v>
      </c>
      <c r="J67" s="28">
        <v>3</v>
      </c>
      <c r="K67" s="21">
        <v>8500</v>
      </c>
      <c r="L67" s="25">
        <f t="shared" si="13"/>
        <v>25500</v>
      </c>
      <c r="M67" s="2" t="s">
        <v>28</v>
      </c>
      <c r="N67" s="2" t="s">
        <v>90</v>
      </c>
      <c r="O67" s="13">
        <v>46223</v>
      </c>
      <c r="P67" t="str">
        <f t="shared" si="14"/>
        <v>ORD</v>
      </c>
      <c r="Q67" t="str">
        <f t="shared" si="15"/>
        <v>1011</v>
      </c>
      <c r="R67">
        <f t="shared" si="16"/>
        <v>4</v>
      </c>
      <c r="S67" t="str">
        <f t="shared" si="17"/>
        <v>1011</v>
      </c>
    </row>
    <row r="68" spans="1:19" x14ac:dyDescent="0.35">
      <c r="A68" s="2" t="s">
        <v>123</v>
      </c>
      <c r="B68" s="2" t="str">
        <f>CLEAN(TRIM(Raw_Data!B19))</f>
        <v>Ali Chaudhry</v>
      </c>
      <c r="C68" s="2" t="s">
        <v>125</v>
      </c>
      <c r="D68" s="2" t="s">
        <v>126</v>
      </c>
      <c r="E68" s="2" t="str">
        <f t="shared" si="12"/>
        <v>03568418210</v>
      </c>
      <c r="F68" s="2" t="str">
        <f>TRIM(PROPER(Raw_Data!E19))</f>
        <v>Sialkot</v>
      </c>
      <c r="G68" s="2" t="str">
        <f>TRIM(PROPER(Raw_Data!F19))</f>
        <v>Headphones</v>
      </c>
      <c r="H68" s="2" t="str">
        <f>TRIM(PROPER(Raw_Data!G19))</f>
        <v>Electronics</v>
      </c>
      <c r="I68" s="17">
        <v>46252</v>
      </c>
      <c r="J68" s="28">
        <v>3</v>
      </c>
      <c r="K68" s="21">
        <v>8500</v>
      </c>
      <c r="L68" s="25">
        <f t="shared" si="13"/>
        <v>25500</v>
      </c>
      <c r="M68" s="2" t="s">
        <v>28</v>
      </c>
      <c r="N68" s="2" t="s">
        <v>29</v>
      </c>
      <c r="O68" s="13">
        <v>46255</v>
      </c>
      <c r="P68" t="str">
        <f t="shared" si="14"/>
        <v>ORD</v>
      </c>
      <c r="Q68" t="str">
        <f t="shared" si="15"/>
        <v>1018</v>
      </c>
      <c r="R68">
        <f t="shared" si="16"/>
        <v>4</v>
      </c>
      <c r="S68" t="str">
        <f t="shared" si="17"/>
        <v>1018</v>
      </c>
    </row>
    <row r="69" spans="1:19" x14ac:dyDescent="0.35">
      <c r="A69" s="2" t="s">
        <v>259</v>
      </c>
      <c r="B69" s="2" t="str">
        <f>CLEAN(TRIM(Raw_Data!B46))</f>
        <v>Komal Raza</v>
      </c>
      <c r="C69" s="2" t="s">
        <v>261</v>
      </c>
      <c r="D69" s="2" t="s">
        <v>262</v>
      </c>
      <c r="E69" s="2" t="str">
        <f t="shared" si="12"/>
        <v>03697017548</v>
      </c>
      <c r="F69" s="2" t="str">
        <f>TRIM(PROPER(Raw_Data!E46))</f>
        <v>Rawalpindi</v>
      </c>
      <c r="G69" s="2" t="str">
        <f>TRIM(PROPER(Raw_Data!F46))</f>
        <v>Wrist Watch</v>
      </c>
      <c r="H69" s="2" t="str">
        <f>TRIM(PROPER(Raw_Data!G46))</f>
        <v>Accessories</v>
      </c>
      <c r="I69" s="17">
        <v>46205</v>
      </c>
      <c r="J69" s="28">
        <v>3</v>
      </c>
      <c r="K69" s="21">
        <v>8500</v>
      </c>
      <c r="L69" s="25">
        <f t="shared" si="13"/>
        <v>25500</v>
      </c>
      <c r="M69" s="2" t="s">
        <v>20</v>
      </c>
      <c r="N69" s="2" t="s">
        <v>29</v>
      </c>
      <c r="O69" s="13">
        <v>46207</v>
      </c>
      <c r="P69" t="str">
        <f t="shared" si="14"/>
        <v>ORD</v>
      </c>
      <c r="Q69" t="str">
        <f t="shared" si="15"/>
        <v>1044</v>
      </c>
      <c r="R69">
        <f t="shared" si="16"/>
        <v>4</v>
      </c>
      <c r="S69" t="str">
        <f t="shared" si="17"/>
        <v>1044</v>
      </c>
    </row>
    <row r="70" spans="1:19" x14ac:dyDescent="0.35">
      <c r="A70" s="2" t="s">
        <v>436</v>
      </c>
      <c r="B70" s="2" t="str">
        <f>CLEAN(TRIM(Raw_Data!B91))</f>
        <v>Bilal Malik</v>
      </c>
      <c r="C70" s="2" t="s">
        <v>494</v>
      </c>
      <c r="D70" s="2" t="s">
        <v>438</v>
      </c>
      <c r="E70" s="2" t="str">
        <f t="shared" si="12"/>
        <v>03941742169</v>
      </c>
      <c r="F70" s="2" t="str">
        <f>TRIM(PROPER(Raw_Data!E91))</f>
        <v>Rawalpindi</v>
      </c>
      <c r="G70" s="2" t="str">
        <f>TRIM(PROPER(Raw_Data!F91))</f>
        <v>Running Shoes</v>
      </c>
      <c r="H70" s="2" t="s">
        <v>171</v>
      </c>
      <c r="I70" s="17">
        <v>46242</v>
      </c>
      <c r="J70" s="28">
        <v>3</v>
      </c>
      <c r="K70" s="21">
        <v>8500</v>
      </c>
      <c r="L70" s="25">
        <f t="shared" si="13"/>
        <v>25500</v>
      </c>
      <c r="M70" s="2" t="s">
        <v>28</v>
      </c>
      <c r="N70" s="2" t="s">
        <v>90</v>
      </c>
      <c r="O70" s="13">
        <v>46249</v>
      </c>
      <c r="P70" t="str">
        <f t="shared" si="14"/>
        <v>ORD</v>
      </c>
      <c r="Q70" t="str">
        <f t="shared" si="15"/>
        <v>1086</v>
      </c>
      <c r="R70">
        <f t="shared" si="16"/>
        <v>4</v>
      </c>
      <c r="S70" t="str">
        <f t="shared" si="17"/>
        <v>1086</v>
      </c>
    </row>
    <row r="71" spans="1:19" x14ac:dyDescent="0.35">
      <c r="A71" s="2" t="s">
        <v>468</v>
      </c>
      <c r="B71" s="2" t="str">
        <f>CLEAN(TRIM(Raw_Data!B100))</f>
        <v>Sadia Iqbal</v>
      </c>
      <c r="C71" s="2" t="s">
        <v>470</v>
      </c>
      <c r="D71" s="2" t="s">
        <v>471</v>
      </c>
      <c r="E71" s="2" t="str">
        <f t="shared" si="12"/>
        <v>03996475691</v>
      </c>
      <c r="F71" s="2" t="str">
        <f>TRIM(PROPER(Raw_Data!E100))</f>
        <v>Sialkot</v>
      </c>
      <c r="G71" s="2" t="str">
        <f>TRIM(PROPER(Raw_Data!F100))</f>
        <v>Vacuum Cleaner</v>
      </c>
      <c r="H71" s="2" t="s">
        <v>27</v>
      </c>
      <c r="I71" s="17">
        <v>46209</v>
      </c>
      <c r="J71" s="28">
        <v>3</v>
      </c>
      <c r="K71" s="21">
        <v>8500</v>
      </c>
      <c r="L71" s="25">
        <f t="shared" si="13"/>
        <v>25500</v>
      </c>
      <c r="M71" s="2" t="s">
        <v>20</v>
      </c>
      <c r="N71" s="2" t="s">
        <v>29</v>
      </c>
      <c r="O71" s="13">
        <v>46215</v>
      </c>
      <c r="P71" t="str">
        <f t="shared" si="14"/>
        <v>ORD</v>
      </c>
      <c r="Q71" t="str">
        <f t="shared" si="15"/>
        <v>1095</v>
      </c>
      <c r="R71">
        <f t="shared" si="16"/>
        <v>4</v>
      </c>
      <c r="S71" t="str">
        <f t="shared" si="17"/>
        <v>1095</v>
      </c>
    </row>
    <row r="72" spans="1:19" x14ac:dyDescent="0.35">
      <c r="A72" s="2" t="s">
        <v>300</v>
      </c>
      <c r="B72" s="2" t="str">
        <f>CLEAN(TRIM(Raw_Data!B55))</f>
        <v>Bilal Aslam</v>
      </c>
      <c r="C72" s="2" t="s">
        <v>302</v>
      </c>
      <c r="D72" s="2" t="s">
        <v>303</v>
      </c>
      <c r="E72" s="2" t="str">
        <f t="shared" si="12"/>
        <v>03408202195</v>
      </c>
      <c r="F72" s="2" t="str">
        <f>TRIM(PROPER(Raw_Data!E55))</f>
        <v>Peshawar</v>
      </c>
      <c r="G72" s="2" t="str">
        <f>TRIM(PROPER(Raw_Data!F55))</f>
        <v>Laptop</v>
      </c>
      <c r="H72" s="2" t="s">
        <v>95</v>
      </c>
      <c r="I72" s="17">
        <v>46248</v>
      </c>
      <c r="J72" s="28">
        <v>1</v>
      </c>
      <c r="K72" s="21">
        <v>25000</v>
      </c>
      <c r="L72" s="25">
        <f t="shared" si="13"/>
        <v>25000</v>
      </c>
      <c r="M72" s="2" t="s">
        <v>20</v>
      </c>
      <c r="N72" s="2" t="s">
        <v>515</v>
      </c>
      <c r="O72" s="13">
        <v>46252</v>
      </c>
      <c r="P72" t="str">
        <f t="shared" si="14"/>
        <v>ORD</v>
      </c>
      <c r="Q72" t="str">
        <f t="shared" si="15"/>
        <v>1052</v>
      </c>
      <c r="R72">
        <f t="shared" si="16"/>
        <v>4</v>
      </c>
      <c r="S72" t="str">
        <f t="shared" si="17"/>
        <v>1052</v>
      </c>
    </row>
    <row r="73" spans="1:19" x14ac:dyDescent="0.35">
      <c r="A73" s="2" t="s">
        <v>336</v>
      </c>
      <c r="B73" s="2" t="str">
        <f>CLEAN(TRIM(Raw_Data!B63))</f>
        <v>Umar Butt</v>
      </c>
      <c r="C73" s="2" t="s">
        <v>338</v>
      </c>
      <c r="D73" s="2" t="s">
        <v>339</v>
      </c>
      <c r="E73" s="2" t="str">
        <f t="shared" si="12"/>
        <v>03139655523</v>
      </c>
      <c r="F73" s="2" t="str">
        <f>TRIM(PROPER(Raw_Data!E63))</f>
        <v>Islamabad</v>
      </c>
      <c r="G73" s="2" t="str">
        <f>TRIM(PROPER(Raw_Data!F63))</f>
        <v>Microwave Oven</v>
      </c>
      <c r="H73" s="2" t="s">
        <v>27</v>
      </c>
      <c r="I73" s="17">
        <v>46232</v>
      </c>
      <c r="J73" s="28">
        <v>1</v>
      </c>
      <c r="K73" s="21">
        <v>25000</v>
      </c>
      <c r="L73" s="25">
        <f t="shared" si="13"/>
        <v>25000</v>
      </c>
      <c r="M73" s="2" t="s">
        <v>20</v>
      </c>
      <c r="N73" s="2" t="s">
        <v>29</v>
      </c>
      <c r="O73" s="13">
        <v>46236</v>
      </c>
      <c r="P73" t="str">
        <f t="shared" si="14"/>
        <v>ORD</v>
      </c>
      <c r="Q73" t="str">
        <f t="shared" si="15"/>
        <v>1059</v>
      </c>
      <c r="R73">
        <f t="shared" si="16"/>
        <v>4</v>
      </c>
      <c r="S73" t="str">
        <f t="shared" si="17"/>
        <v>1059</v>
      </c>
    </row>
    <row r="74" spans="1:19" x14ac:dyDescent="0.35">
      <c r="A74" s="2" t="s">
        <v>264</v>
      </c>
      <c r="B74" s="2" t="str">
        <f>CLEAN(TRIM(Raw_Data!B47))</f>
        <v>Rida Raza</v>
      </c>
      <c r="C74" s="2" t="s">
        <v>266</v>
      </c>
      <c r="D74" s="2" t="s">
        <v>267</v>
      </c>
      <c r="E74" s="2" t="str">
        <f t="shared" si="12"/>
        <v>03005651899</v>
      </c>
      <c r="F74" s="2" t="str">
        <f>TRIM(PROPER(Raw_Data!E47))</f>
        <v>Faisalabad</v>
      </c>
      <c r="G74" s="2" t="str">
        <f>TRIM(PROPER(Raw_Data!F47))</f>
        <v>Laptop</v>
      </c>
      <c r="H74" s="2" t="s">
        <v>495</v>
      </c>
      <c r="I74" s="17">
        <v>46224</v>
      </c>
      <c r="J74" s="28">
        <v>2</v>
      </c>
      <c r="K74" s="21">
        <v>12000</v>
      </c>
      <c r="L74" s="25">
        <f t="shared" si="13"/>
        <v>24000</v>
      </c>
      <c r="M74" s="2" t="s">
        <v>20</v>
      </c>
      <c r="N74" s="2" t="s">
        <v>515</v>
      </c>
      <c r="O74" s="13">
        <v>46226</v>
      </c>
      <c r="P74" t="str">
        <f t="shared" si="14"/>
        <v>ORD</v>
      </c>
      <c r="Q74" t="str">
        <f t="shared" si="15"/>
        <v>1045</v>
      </c>
      <c r="R74">
        <f t="shared" si="16"/>
        <v>4</v>
      </c>
      <c r="S74" t="str">
        <f t="shared" si="17"/>
        <v>1045</v>
      </c>
    </row>
    <row r="75" spans="1:19" x14ac:dyDescent="0.35">
      <c r="A75" s="2" t="s">
        <v>354</v>
      </c>
      <c r="B75" s="2" t="str">
        <f>CLEAN(TRIM(Raw_Data!B67))</f>
        <v>Hassan Ali</v>
      </c>
      <c r="C75" s="2" t="s">
        <v>356</v>
      </c>
      <c r="D75" s="2" t="s">
        <v>357</v>
      </c>
      <c r="E75" s="2" t="str">
        <f t="shared" si="12"/>
        <v>03056294819</v>
      </c>
      <c r="F75" s="2" t="s">
        <v>495</v>
      </c>
      <c r="G75" s="2" t="str">
        <f>TRIM(PROPER(Raw_Data!F67))</f>
        <v>Study Table</v>
      </c>
      <c r="H75" s="2" t="s">
        <v>45</v>
      </c>
      <c r="I75" s="17">
        <v>46225</v>
      </c>
      <c r="J75" s="28">
        <v>1</v>
      </c>
      <c r="K75" s="21">
        <v>18000</v>
      </c>
      <c r="L75" s="25">
        <f t="shared" si="13"/>
        <v>18000</v>
      </c>
      <c r="M75" s="2" t="s">
        <v>46</v>
      </c>
      <c r="N75" s="2" t="s">
        <v>90</v>
      </c>
      <c r="O75" s="13">
        <v>46229</v>
      </c>
      <c r="P75" t="str">
        <f t="shared" si="14"/>
        <v>ORD</v>
      </c>
      <c r="Q75" t="str">
        <f t="shared" si="15"/>
        <v>1063</v>
      </c>
      <c r="R75">
        <f t="shared" si="16"/>
        <v>4</v>
      </c>
      <c r="S75" t="str">
        <f t="shared" si="17"/>
        <v>1063</v>
      </c>
    </row>
    <row r="76" spans="1:19" x14ac:dyDescent="0.35">
      <c r="A76" s="2" t="s">
        <v>103</v>
      </c>
      <c r="B76" s="2" t="str">
        <f>CLEAN(TRIM(Raw_Data!B15))</f>
        <v>Mahnoor Ali</v>
      </c>
      <c r="C76" s="2" t="s">
        <v>105</v>
      </c>
      <c r="D76" s="2" t="s">
        <v>494</v>
      </c>
      <c r="E76" s="2" t="str">
        <f t="shared" si="12"/>
        <v>NotProvided</v>
      </c>
      <c r="F76" s="2" t="str">
        <f>TRIM(PROPER(Raw_Data!E15))</f>
        <v>Multan</v>
      </c>
      <c r="G76" s="2" t="str">
        <f>TRIM(PROPER(Raw_Data!F15))</f>
        <v>Study Table</v>
      </c>
      <c r="H76" s="2" t="str">
        <f>TRIM(PROPER(Raw_Data!G15))</f>
        <v>Furniture</v>
      </c>
      <c r="I76" s="17">
        <v>46230</v>
      </c>
      <c r="J76" s="28">
        <v>2</v>
      </c>
      <c r="K76" s="21">
        <v>8500</v>
      </c>
      <c r="L76" s="25">
        <f t="shared" si="13"/>
        <v>17000</v>
      </c>
      <c r="M76" s="2" t="s">
        <v>20</v>
      </c>
      <c r="N76" s="2" t="s">
        <v>90</v>
      </c>
      <c r="O76" s="13">
        <v>46236</v>
      </c>
      <c r="P76" t="str">
        <f t="shared" si="14"/>
        <v>ORD</v>
      </c>
      <c r="Q76" t="str">
        <f t="shared" si="15"/>
        <v>1014</v>
      </c>
      <c r="R76">
        <f t="shared" si="16"/>
        <v>4</v>
      </c>
      <c r="S76" t="str">
        <f t="shared" si="17"/>
        <v>1014</v>
      </c>
    </row>
    <row r="77" spans="1:19" x14ac:dyDescent="0.35">
      <c r="A77" s="2" t="s">
        <v>148</v>
      </c>
      <c r="B77" s="2" t="str">
        <f>CLEAN(TRIM(Raw_Data!B24))</f>
        <v>Kashif Aslam</v>
      </c>
      <c r="C77" s="2" t="s">
        <v>150</v>
      </c>
      <c r="D77" s="2" t="s">
        <v>151</v>
      </c>
      <c r="E77" s="2" t="str">
        <f t="shared" si="12"/>
        <v>03968072684</v>
      </c>
      <c r="F77" s="2" t="str">
        <f>TRIM(PROPER(Raw_Data!E24))</f>
        <v>Sialkot</v>
      </c>
      <c r="G77" s="2" t="str">
        <f>TRIM(PROPER(Raw_Data!F24))</f>
        <v>Mobile Phone </v>
      </c>
      <c r="H77" s="2" t="str">
        <f>TRIM(PROPER(Raw_Data!G24))</f>
        <v>Electronics</v>
      </c>
      <c r="I77" s="17">
        <v>46206</v>
      </c>
      <c r="J77" s="28">
        <v>2</v>
      </c>
      <c r="K77" s="21">
        <v>8500</v>
      </c>
      <c r="L77" s="25">
        <f t="shared" si="13"/>
        <v>17000</v>
      </c>
      <c r="M77" s="2" t="s">
        <v>20</v>
      </c>
      <c r="N77" s="2" t="s">
        <v>29</v>
      </c>
      <c r="O77" s="13">
        <v>46208</v>
      </c>
      <c r="P77" t="str">
        <f t="shared" si="14"/>
        <v>ORD</v>
      </c>
      <c r="Q77" t="str">
        <f t="shared" si="15"/>
        <v>1023</v>
      </c>
      <c r="R77">
        <f t="shared" si="16"/>
        <v>4</v>
      </c>
      <c r="S77" t="str">
        <f t="shared" si="17"/>
        <v>1023</v>
      </c>
    </row>
    <row r="78" spans="1:19" x14ac:dyDescent="0.35">
      <c r="A78" s="2" t="s">
        <v>413</v>
      </c>
      <c r="B78" s="2" t="str">
        <f>CLEAN(TRIM(Raw_Data!B84))</f>
        <v>Fahad Qureshi</v>
      </c>
      <c r="C78" s="2" t="s">
        <v>415</v>
      </c>
      <c r="D78" s="2" t="s">
        <v>416</v>
      </c>
      <c r="E78" s="2" t="str">
        <f t="shared" si="12"/>
        <v>03415788474</v>
      </c>
      <c r="F78" s="2" t="str">
        <f>TRIM(PROPER(Raw_Data!E84))</f>
        <v>Karachi</v>
      </c>
      <c r="G78" s="2" t="str">
        <f>TRIM(PROPER(Raw_Data!F84))</f>
        <v>Mobile Phone</v>
      </c>
      <c r="H78" s="2" t="s">
        <v>95</v>
      </c>
      <c r="I78" s="17">
        <v>46206</v>
      </c>
      <c r="J78" s="28">
        <v>4</v>
      </c>
      <c r="K78" s="21">
        <v>4000</v>
      </c>
      <c r="L78" s="25">
        <f t="shared" si="13"/>
        <v>16000</v>
      </c>
      <c r="M78" s="2" t="s">
        <v>28</v>
      </c>
      <c r="N78" s="2" t="s">
        <v>29</v>
      </c>
      <c r="O78" s="13">
        <v>46211</v>
      </c>
      <c r="P78" t="str">
        <f t="shared" si="14"/>
        <v>ORD</v>
      </c>
      <c r="Q78" t="str">
        <f t="shared" si="15"/>
        <v>1079</v>
      </c>
      <c r="R78">
        <f t="shared" si="16"/>
        <v>4</v>
      </c>
      <c r="S78" t="str">
        <f t="shared" si="17"/>
        <v>1079</v>
      </c>
    </row>
    <row r="79" spans="1:19" x14ac:dyDescent="0.35">
      <c r="A79" s="2" t="s">
        <v>97</v>
      </c>
      <c r="B79" s="2" t="str">
        <f>CLEAN(TRIM(Raw_Data!B14))</f>
        <v>Usman Butt</v>
      </c>
      <c r="C79" s="2" t="s">
        <v>99</v>
      </c>
      <c r="D79" s="2" t="s">
        <v>100</v>
      </c>
      <c r="E79" s="2" t="str">
        <f t="shared" si="12"/>
        <v>03266752576</v>
      </c>
      <c r="F79" s="2" t="str">
        <f>TRIM(PROPER(Raw_Data!E14))</f>
        <v>Faisalabad</v>
      </c>
      <c r="G79" s="2" t="str">
        <f>TRIM(PROPER(Raw_Data!F14))</f>
        <v>Mobile Phone</v>
      </c>
      <c r="H79" s="2" t="str">
        <f>TRIM(PROPER(Raw_Data!G14))</f>
        <v>Electronics</v>
      </c>
      <c r="I79" s="17">
        <v>46225</v>
      </c>
      <c r="J79" s="28">
        <v>3</v>
      </c>
      <c r="K79" s="21">
        <v>4000</v>
      </c>
      <c r="L79" s="25">
        <f t="shared" si="13"/>
        <v>12000</v>
      </c>
      <c r="M79" s="2" t="s">
        <v>102</v>
      </c>
      <c r="N79" s="2" t="s">
        <v>515</v>
      </c>
      <c r="O79" s="13">
        <v>46228</v>
      </c>
      <c r="P79" t="str">
        <f t="shared" si="14"/>
        <v>ORD</v>
      </c>
      <c r="Q79" t="str">
        <f t="shared" si="15"/>
        <v>1013</v>
      </c>
      <c r="R79">
        <f t="shared" si="16"/>
        <v>4</v>
      </c>
      <c r="S79" t="str">
        <f t="shared" si="17"/>
        <v>1013</v>
      </c>
    </row>
    <row r="80" spans="1:19" x14ac:dyDescent="0.35">
      <c r="A80" s="2" t="s">
        <v>319</v>
      </c>
      <c r="B80" s="2" t="str">
        <f>CLEAN(TRIM(Raw_Data!B59))</f>
        <v>Maryam Awan</v>
      </c>
      <c r="C80" s="2" t="s">
        <v>321</v>
      </c>
      <c r="D80" s="2" t="s">
        <v>322</v>
      </c>
      <c r="E80" s="2" t="str">
        <f t="shared" si="12"/>
        <v>03365227787</v>
      </c>
      <c r="F80" s="2" t="str">
        <f>TRIM(PROPER(Raw_Data!E59))</f>
        <v>Islamabad</v>
      </c>
      <c r="G80" s="2" t="str">
        <f>TRIM(PROPER(Raw_Data!F59))</f>
        <v>Led Tv</v>
      </c>
      <c r="H80" s="2" t="s">
        <v>95</v>
      </c>
      <c r="I80" s="17">
        <v>46212</v>
      </c>
      <c r="J80" s="28">
        <v>1</v>
      </c>
      <c r="K80" s="21">
        <v>12000</v>
      </c>
      <c r="L80" s="25">
        <f t="shared" si="13"/>
        <v>12000</v>
      </c>
      <c r="M80" s="2" t="s">
        <v>102</v>
      </c>
      <c r="N80" s="2" t="s">
        <v>90</v>
      </c>
      <c r="O80" s="13">
        <v>46218</v>
      </c>
      <c r="P80" t="str">
        <f t="shared" si="14"/>
        <v>ORD</v>
      </c>
      <c r="Q80" t="str">
        <f t="shared" si="15"/>
        <v>1056</v>
      </c>
      <c r="R80">
        <f t="shared" si="16"/>
        <v>4</v>
      </c>
      <c r="S80" t="str">
        <f t="shared" si="17"/>
        <v>1056</v>
      </c>
    </row>
    <row r="81" spans="1:19" x14ac:dyDescent="0.35">
      <c r="A81" s="2" t="s">
        <v>392</v>
      </c>
      <c r="B81" s="2" t="str">
        <f>CLEAN(TRIM(Raw_Data!B77))</f>
        <v>Farah Javed</v>
      </c>
      <c r="C81" s="2" t="s">
        <v>394</v>
      </c>
      <c r="D81" s="2" t="s">
        <v>395</v>
      </c>
      <c r="E81" s="2" t="str">
        <f t="shared" si="12"/>
        <v>03097481857</v>
      </c>
      <c r="F81" s="2" t="str">
        <f>TRIM(PROPER(Raw_Data!E77))</f>
        <v>Faisalabad</v>
      </c>
      <c r="G81" s="2" t="str">
        <f>TRIM(PROPER(Raw_Data!F77))</f>
        <v>Smart Watch</v>
      </c>
      <c r="H81" s="2" t="s">
        <v>95</v>
      </c>
      <c r="I81" s="17">
        <v>46225</v>
      </c>
      <c r="J81" s="28">
        <v>3</v>
      </c>
      <c r="K81" s="21">
        <v>4000</v>
      </c>
      <c r="L81" s="25">
        <f t="shared" si="13"/>
        <v>12000</v>
      </c>
      <c r="M81" s="2" t="s">
        <v>28</v>
      </c>
      <c r="N81" s="2" t="s">
        <v>515</v>
      </c>
      <c r="O81" s="13">
        <v>46231</v>
      </c>
      <c r="P81" t="str">
        <f t="shared" si="14"/>
        <v>ORD</v>
      </c>
      <c r="Q81" t="str">
        <f t="shared" si="15"/>
        <v>1073</v>
      </c>
      <c r="R81">
        <f t="shared" si="16"/>
        <v>4</v>
      </c>
      <c r="S81" t="str">
        <f t="shared" si="17"/>
        <v>1073</v>
      </c>
    </row>
    <row r="82" spans="1:19" x14ac:dyDescent="0.35">
      <c r="A82" s="2" t="s">
        <v>59</v>
      </c>
      <c r="B82" s="2" t="str">
        <f>CLEAN(TRIM(Raw_Data!B8))</f>
        <v>Bushra Ali</v>
      </c>
      <c r="C82" s="2" t="s">
        <v>61</v>
      </c>
      <c r="D82" s="2" t="s">
        <v>62</v>
      </c>
      <c r="E82" s="2" t="str">
        <f t="shared" si="12"/>
        <v>03339852897</v>
      </c>
      <c r="F82" s="2" t="str">
        <f>TRIM(PROPER(Raw_Data!E8))</f>
        <v>Rawalpindi</v>
      </c>
      <c r="G82" s="2" t="str">
        <f>TRIM(PROPER(Raw_Data!F8))</f>
        <v>Study Table</v>
      </c>
      <c r="H82" s="2" t="str">
        <f>TRIM(PROPER(Raw_Data!G8))</f>
        <v>Furniture</v>
      </c>
      <c r="I82" s="17">
        <v>46232</v>
      </c>
      <c r="J82" s="28">
        <v>4</v>
      </c>
      <c r="K82" s="21">
        <v>2500</v>
      </c>
      <c r="L82" s="25">
        <f t="shared" si="13"/>
        <v>10000</v>
      </c>
      <c r="M82" s="2" t="s">
        <v>28</v>
      </c>
      <c r="N82" s="2" t="s">
        <v>495</v>
      </c>
      <c r="O82" s="13">
        <v>46238</v>
      </c>
      <c r="P82" t="str">
        <f t="shared" si="14"/>
        <v>ORD</v>
      </c>
      <c r="Q82" t="str">
        <f t="shared" si="15"/>
        <v>1007</v>
      </c>
      <c r="R82">
        <f t="shared" si="16"/>
        <v>4</v>
      </c>
      <c r="S82" t="str">
        <f t="shared" si="17"/>
        <v>1007</v>
      </c>
    </row>
    <row r="83" spans="1:19" x14ac:dyDescent="0.35">
      <c r="A83" s="2" t="s">
        <v>133</v>
      </c>
      <c r="B83" s="2" t="str">
        <f>CLEAN(TRIM(Raw_Data!B21))</f>
        <v>Anum Siddiqui</v>
      </c>
      <c r="C83" s="2" t="s">
        <v>134</v>
      </c>
      <c r="D83" s="2" t="s">
        <v>135</v>
      </c>
      <c r="E83" s="2" t="str">
        <f t="shared" si="12"/>
        <v>03708481188</v>
      </c>
      <c r="F83" s="2" t="str">
        <f>TRIM(PROPER(Raw_Data!E21))</f>
        <v>Sialkot</v>
      </c>
      <c r="G83" s="2" t="str">
        <f>TRIM(PROPER(Raw_Data!F21))</f>
        <v>Sofa Set</v>
      </c>
      <c r="H83" s="2" t="str">
        <f>TRIM(PROPER(Raw_Data!G21))</f>
        <v>Furniture</v>
      </c>
      <c r="I83" s="17">
        <v>46219</v>
      </c>
      <c r="J83" s="28">
        <v>4</v>
      </c>
      <c r="K83" s="21">
        <v>2500</v>
      </c>
      <c r="L83" s="25">
        <f t="shared" si="13"/>
        <v>10000</v>
      </c>
      <c r="M83" s="2" t="s">
        <v>28</v>
      </c>
      <c r="N83" s="2" t="s">
        <v>29</v>
      </c>
      <c r="O83" s="13">
        <v>46223</v>
      </c>
      <c r="P83" t="str">
        <f t="shared" si="14"/>
        <v>ORD</v>
      </c>
      <c r="Q83" t="str">
        <f t="shared" si="15"/>
        <v>1020</v>
      </c>
      <c r="R83">
        <f t="shared" si="16"/>
        <v>4</v>
      </c>
      <c r="S83" t="str">
        <f t="shared" si="17"/>
        <v>1020</v>
      </c>
    </row>
    <row r="84" spans="1:19" x14ac:dyDescent="0.35">
      <c r="A84" s="2" t="s">
        <v>196</v>
      </c>
      <c r="B84" s="2" t="str">
        <f>CLEAN(TRIM(Raw_Data!B33))</f>
        <v>Noor Ali</v>
      </c>
      <c r="C84" s="2" t="s">
        <v>198</v>
      </c>
      <c r="D84" s="2" t="s">
        <v>199</v>
      </c>
      <c r="E84" s="2" t="str">
        <f t="shared" si="12"/>
        <v>03258132648</v>
      </c>
      <c r="F84" s="2" t="str">
        <f>TRIM(PROPER(Raw_Data!E33))</f>
        <v>Islamabad</v>
      </c>
      <c r="G84" s="2" t="str">
        <f>TRIM(PROPER(Raw_Data!F33))</f>
        <v>Headphones</v>
      </c>
      <c r="H84" s="2" t="str">
        <f>TRIM(PROPER(Raw_Data!G33))</f>
        <v>Electronics</v>
      </c>
      <c r="I84" s="17">
        <v>46240</v>
      </c>
      <c r="J84" s="28">
        <v>4</v>
      </c>
      <c r="K84" s="21">
        <v>2500</v>
      </c>
      <c r="L84" s="25">
        <f t="shared" si="13"/>
        <v>10000</v>
      </c>
      <c r="M84" s="2" t="s">
        <v>102</v>
      </c>
      <c r="N84" s="2" t="s">
        <v>90</v>
      </c>
      <c r="O84" s="13">
        <v>46244</v>
      </c>
      <c r="P84" t="str">
        <f t="shared" si="14"/>
        <v>ORD</v>
      </c>
      <c r="Q84" t="str">
        <f t="shared" si="15"/>
        <v>1031</v>
      </c>
      <c r="R84">
        <f t="shared" si="16"/>
        <v>4</v>
      </c>
      <c r="S84" t="str">
        <f t="shared" si="17"/>
        <v>1031</v>
      </c>
    </row>
    <row r="85" spans="1:19" x14ac:dyDescent="0.35">
      <c r="A85" s="2" t="s">
        <v>201</v>
      </c>
      <c r="B85" s="2" t="str">
        <f>CLEAN(TRIM(Raw_Data!B34))</f>
        <v>Rabia Anwar</v>
      </c>
      <c r="C85" s="2" t="s">
        <v>513</v>
      </c>
      <c r="D85" s="2" t="s">
        <v>204</v>
      </c>
      <c r="E85" s="2" t="str">
        <f t="shared" si="12"/>
        <v>03415200476</v>
      </c>
      <c r="F85" s="2" t="str">
        <f>TRIM(PROPER(Raw_Data!E34))</f>
        <v>Lahore</v>
      </c>
      <c r="G85" s="2" t="str">
        <f>TRIM(PROPER(Raw_Data!F34))</f>
        <v>Office Chair</v>
      </c>
      <c r="H85" s="2" t="str">
        <f>TRIM(PROPER(Raw_Data!G34))</f>
        <v>Furniture</v>
      </c>
      <c r="I85" s="17">
        <v>46241</v>
      </c>
      <c r="J85" s="28">
        <v>4</v>
      </c>
      <c r="K85" s="21">
        <v>2500</v>
      </c>
      <c r="L85" s="25">
        <f t="shared" si="13"/>
        <v>10000</v>
      </c>
      <c r="M85" s="2" t="s">
        <v>102</v>
      </c>
      <c r="N85" s="2" t="s">
        <v>29</v>
      </c>
      <c r="O85" s="13">
        <v>46246</v>
      </c>
      <c r="P85" t="str">
        <f t="shared" si="14"/>
        <v>ORD</v>
      </c>
      <c r="Q85" t="str">
        <f t="shared" si="15"/>
        <v>1032</v>
      </c>
      <c r="R85">
        <f t="shared" si="16"/>
        <v>4</v>
      </c>
      <c r="S85" t="str">
        <f t="shared" si="17"/>
        <v>1032</v>
      </c>
    </row>
    <row r="86" spans="1:19" x14ac:dyDescent="0.35">
      <c r="A86" s="2" t="s">
        <v>269</v>
      </c>
      <c r="B86" s="2" t="str">
        <f>CLEAN(TRIM(Raw_Data!B48))</f>
        <v>Bilal Abbasi</v>
      </c>
      <c r="C86" s="2" t="s">
        <v>271</v>
      </c>
      <c r="D86" s="2" t="s">
        <v>272</v>
      </c>
      <c r="E86" s="2" t="str">
        <f t="shared" si="12"/>
        <v>03781727544</v>
      </c>
      <c r="F86" s="2" t="str">
        <f>TRIM(PROPER(Raw_Data!E48))</f>
        <v>Faisalabad</v>
      </c>
      <c r="G86" s="2" t="str">
        <f>TRIM(PROPER(Raw_Data!F48))</f>
        <v>Laptop</v>
      </c>
      <c r="H86" s="2" t="s">
        <v>95</v>
      </c>
      <c r="I86" s="17">
        <v>46210</v>
      </c>
      <c r="J86" s="28">
        <v>4</v>
      </c>
      <c r="K86" s="21">
        <v>2500</v>
      </c>
      <c r="L86" s="25">
        <f t="shared" si="13"/>
        <v>10000</v>
      </c>
      <c r="M86" s="2" t="s">
        <v>20</v>
      </c>
      <c r="N86" s="2" t="s">
        <v>29</v>
      </c>
      <c r="O86" s="13">
        <v>46215</v>
      </c>
      <c r="P86" t="str">
        <f t="shared" si="14"/>
        <v>ORD</v>
      </c>
      <c r="Q86" t="str">
        <f t="shared" si="15"/>
        <v>1046</v>
      </c>
      <c r="R86">
        <f t="shared" si="16"/>
        <v>4</v>
      </c>
      <c r="S86" t="str">
        <f t="shared" si="17"/>
        <v>1046</v>
      </c>
    </row>
    <row r="87" spans="1:19" x14ac:dyDescent="0.35">
      <c r="A87" s="2" t="s">
        <v>489</v>
      </c>
      <c r="B87" s="2" t="str">
        <f>CLEAN(TRIM(Raw_Data!B105))</f>
        <v>Junaid Siddiqui</v>
      </c>
      <c r="C87" s="2" t="s">
        <v>491</v>
      </c>
      <c r="D87" s="2" t="s">
        <v>492</v>
      </c>
      <c r="E87" s="2" t="str">
        <f t="shared" si="12"/>
        <v>03102834914</v>
      </c>
      <c r="F87" s="2" t="str">
        <f>TRIM(PROPER(Raw_Data!E105))</f>
        <v>Multan</v>
      </c>
      <c r="G87" s="2" t="str">
        <f>TRIM(PROPER(Raw_Data!F105))</f>
        <v>Mobile Phone</v>
      </c>
      <c r="H87" s="2" t="s">
        <v>95</v>
      </c>
      <c r="I87" s="17">
        <v>46252</v>
      </c>
      <c r="J87" s="28">
        <v>4</v>
      </c>
      <c r="K87" s="21">
        <v>2500</v>
      </c>
      <c r="L87" s="25">
        <f t="shared" si="13"/>
        <v>10000</v>
      </c>
      <c r="M87" s="2" t="s">
        <v>20</v>
      </c>
      <c r="N87" s="2" t="s">
        <v>29</v>
      </c>
      <c r="O87" s="13">
        <v>46256</v>
      </c>
      <c r="P87" t="str">
        <f t="shared" si="14"/>
        <v>ORD</v>
      </c>
      <c r="Q87" t="str">
        <f t="shared" si="15"/>
        <v>1100</v>
      </c>
      <c r="R87">
        <f t="shared" si="16"/>
        <v>4</v>
      </c>
      <c r="S87" t="str">
        <f t="shared" si="17"/>
        <v>1100</v>
      </c>
    </row>
    <row r="88" spans="1:19" x14ac:dyDescent="0.35">
      <c r="A88" s="2" t="s">
        <v>208</v>
      </c>
      <c r="B88" s="2" t="str">
        <f>CLEAN(TRIM(Raw_Data!B35))</f>
        <v>Usman Sheikh</v>
      </c>
      <c r="C88" s="2" t="s">
        <v>210</v>
      </c>
      <c r="D88" s="2" t="s">
        <v>211</v>
      </c>
      <c r="E88" s="2" t="str">
        <f t="shared" si="12"/>
        <v>03701615675</v>
      </c>
      <c r="F88" s="2" t="str">
        <f>TRIM(PROPER(Raw_Data!E35))</f>
        <v>Faisalabad</v>
      </c>
      <c r="G88" s="2" t="str">
        <f>TRIM(PROPER(Raw_Data!F35))</f>
        <v>Handbag </v>
      </c>
      <c r="H88" s="2" t="str">
        <f>TRIM(PROPER(Raw_Data!G35))</f>
        <v>Accessories</v>
      </c>
      <c r="I88" s="17">
        <v>46233</v>
      </c>
      <c r="J88" s="28">
        <v>1</v>
      </c>
      <c r="K88" s="21">
        <v>8500</v>
      </c>
      <c r="L88" s="25">
        <f t="shared" si="13"/>
        <v>8500</v>
      </c>
      <c r="M88" s="2" t="s">
        <v>102</v>
      </c>
      <c r="N88" s="2" t="s">
        <v>90</v>
      </c>
      <c r="O88" s="13">
        <v>46238</v>
      </c>
      <c r="P88" t="str">
        <f t="shared" si="14"/>
        <v>ORD</v>
      </c>
      <c r="Q88" t="str">
        <f t="shared" si="15"/>
        <v>1033</v>
      </c>
      <c r="R88">
        <f t="shared" si="16"/>
        <v>4</v>
      </c>
      <c r="S88" t="str">
        <f t="shared" si="17"/>
        <v>1033</v>
      </c>
    </row>
    <row r="89" spans="1:19" x14ac:dyDescent="0.35">
      <c r="A89" s="2" t="s">
        <v>233</v>
      </c>
      <c r="B89" s="2" t="str">
        <f>CLEAN(TRIM(Raw_Data!B40))</f>
        <v>Nida Chaudhry</v>
      </c>
      <c r="C89" s="2" t="s">
        <v>235</v>
      </c>
      <c r="D89" s="2" t="s">
        <v>236</v>
      </c>
      <c r="E89" s="2" t="str">
        <f t="shared" si="12"/>
        <v>03128443690</v>
      </c>
      <c r="F89" s="2" t="str">
        <f>TRIM(PROPER(Raw_Data!E40))</f>
        <v>Lahore</v>
      </c>
      <c r="G89" s="2" t="str">
        <f>TRIM(PROPER(Raw_Data!F40))</f>
        <v>Mobile Phone</v>
      </c>
      <c r="H89" s="2" t="str">
        <f>TRIM(PROPER(Raw_Data!G40))</f>
        <v>Electronics</v>
      </c>
      <c r="I89" s="17">
        <v>46230</v>
      </c>
      <c r="J89" s="28">
        <v>2</v>
      </c>
      <c r="K89" s="21">
        <v>4000</v>
      </c>
      <c r="L89" s="25">
        <f t="shared" si="13"/>
        <v>8000</v>
      </c>
      <c r="M89" s="2" t="s">
        <v>20</v>
      </c>
      <c r="N89" s="2" t="s">
        <v>90</v>
      </c>
      <c r="O89" s="13">
        <v>46236</v>
      </c>
      <c r="P89" t="str">
        <f t="shared" si="14"/>
        <v>ORD</v>
      </c>
      <c r="Q89" t="str">
        <f t="shared" si="15"/>
        <v>1038</v>
      </c>
      <c r="R89">
        <f t="shared" si="16"/>
        <v>4</v>
      </c>
      <c r="S89" t="str">
        <f t="shared" si="17"/>
        <v>1038</v>
      </c>
    </row>
    <row r="90" spans="1:19" x14ac:dyDescent="0.35">
      <c r="A90" s="2" t="s">
        <v>48</v>
      </c>
      <c r="B90" s="2" t="str">
        <f>CLEAN(TRIM(Raw_Data!B6))</f>
        <v>Zainab Ahmed</v>
      </c>
      <c r="C90" s="2" t="s">
        <v>50</v>
      </c>
      <c r="D90" s="2" t="s">
        <v>51</v>
      </c>
      <c r="E90" s="2" t="str">
        <f t="shared" si="12"/>
        <v>03087455324</v>
      </c>
      <c r="F90" s="2" t="str">
        <f>TRIM(PROPER(Raw_Data!E6))</f>
        <v>Sialkot</v>
      </c>
      <c r="G90" s="2" t="str">
        <f>TRIM(PROPER(Raw_Data!F6))</f>
        <v>Vacuum Cleaner</v>
      </c>
      <c r="H90" s="2" t="str">
        <f>TRIM(PROPER(Raw_Data!G6))</f>
        <v>Home Appliances</v>
      </c>
      <c r="I90" s="17">
        <v>46252</v>
      </c>
      <c r="J90" s="28">
        <v>3</v>
      </c>
      <c r="K90" s="21">
        <v>2500</v>
      </c>
      <c r="L90" s="25">
        <f t="shared" si="13"/>
        <v>7500</v>
      </c>
      <c r="M90" s="2" t="s">
        <v>28</v>
      </c>
      <c r="N90" s="2" t="s">
        <v>495</v>
      </c>
      <c r="O90" s="13">
        <v>46256</v>
      </c>
      <c r="P90" t="str">
        <f t="shared" si="14"/>
        <v>ORD</v>
      </c>
      <c r="Q90" t="str">
        <f t="shared" si="15"/>
        <v>1005</v>
      </c>
      <c r="R90">
        <f t="shared" si="16"/>
        <v>4</v>
      </c>
      <c r="S90" t="str">
        <f t="shared" si="17"/>
        <v>1005</v>
      </c>
    </row>
    <row r="91" spans="1:19" x14ac:dyDescent="0.35">
      <c r="A91" s="2" t="s">
        <v>78</v>
      </c>
      <c r="B91" s="2" t="str">
        <f>CLEAN(TRIM(Raw_Data!B11))</f>
        <v>Nida Sheikh</v>
      </c>
      <c r="C91" s="2" t="s">
        <v>80</v>
      </c>
      <c r="D91" s="2" t="s">
        <v>81</v>
      </c>
      <c r="E91" s="2" t="str">
        <f t="shared" si="12"/>
        <v>03481036161</v>
      </c>
      <c r="F91" s="2" t="str">
        <f>TRIM(PROPER(Raw_Data!E11))</f>
        <v>Sialkot</v>
      </c>
      <c r="G91" s="2" t="str">
        <f>TRIM(PROPER(Raw_Data!F11))</f>
        <v>Vacuum Cleaner</v>
      </c>
      <c r="H91" s="2" t="str">
        <f>TRIM(PROPER(Raw_Data!G11))</f>
        <v>Home Appliances</v>
      </c>
      <c r="I91" s="17">
        <v>46207</v>
      </c>
      <c r="J91" s="28">
        <v>5</v>
      </c>
      <c r="K91" s="21">
        <v>1500</v>
      </c>
      <c r="L91" s="25">
        <f t="shared" si="13"/>
        <v>7500</v>
      </c>
      <c r="M91" s="2" t="s">
        <v>46</v>
      </c>
      <c r="N91" s="2" t="s">
        <v>515</v>
      </c>
      <c r="O91" s="13">
        <v>46213</v>
      </c>
      <c r="P91" t="str">
        <f t="shared" si="14"/>
        <v>ORD</v>
      </c>
      <c r="Q91" t="str">
        <f t="shared" si="15"/>
        <v>1010</v>
      </c>
      <c r="R91">
        <f t="shared" si="16"/>
        <v>4</v>
      </c>
      <c r="S91" t="str">
        <f t="shared" si="17"/>
        <v>1010</v>
      </c>
    </row>
    <row r="92" spans="1:19" x14ac:dyDescent="0.35">
      <c r="A92" s="2" t="s">
        <v>183</v>
      </c>
      <c r="B92" s="2" t="str">
        <f>CLEAN(TRIM(Raw_Data!B30))</f>
        <v>Zeeshan Sheikh</v>
      </c>
      <c r="C92" s="2" t="s">
        <v>494</v>
      </c>
      <c r="D92" s="2" t="s">
        <v>185</v>
      </c>
      <c r="E92" s="2" t="str">
        <f t="shared" si="12"/>
        <v>03509479950</v>
      </c>
      <c r="F92" s="2" t="str">
        <f>TRIM(PROPER(Raw_Data!E30))</f>
        <v>Rawalpindi</v>
      </c>
      <c r="G92" s="2" t="str">
        <f>TRIM(PROPER(Raw_Data!F30))</f>
        <v>Mobile Phone</v>
      </c>
      <c r="H92" s="2" t="str">
        <f>TRIM(PROPER(Raw_Data!G30))</f>
        <v>Electronics</v>
      </c>
      <c r="I92" s="17">
        <v>46234</v>
      </c>
      <c r="J92" s="28">
        <v>5</v>
      </c>
      <c r="K92" s="21">
        <v>1500</v>
      </c>
      <c r="L92" s="25">
        <f t="shared" si="13"/>
        <v>7500</v>
      </c>
      <c r="M92" s="2" t="s">
        <v>20</v>
      </c>
      <c r="N92" s="2" t="s">
        <v>29</v>
      </c>
      <c r="O92" s="13">
        <v>46238</v>
      </c>
      <c r="P92" t="str">
        <f t="shared" si="14"/>
        <v>ORD</v>
      </c>
      <c r="Q92" t="str">
        <f t="shared" si="15"/>
        <v>1072</v>
      </c>
      <c r="R92">
        <f t="shared" si="16"/>
        <v>4</v>
      </c>
      <c r="S92" t="str">
        <f t="shared" si="17"/>
        <v>1072</v>
      </c>
    </row>
    <row r="93" spans="1:19" x14ac:dyDescent="0.35">
      <c r="A93" s="2" t="s">
        <v>246</v>
      </c>
      <c r="B93" s="2" t="str">
        <f>CLEAN(TRIM(Raw_Data!B43))</f>
        <v>Asad Ahmed</v>
      </c>
      <c r="C93" s="2" t="s">
        <v>217</v>
      </c>
      <c r="D93" s="2" t="s">
        <v>249</v>
      </c>
      <c r="E93" s="2" t="str">
        <f t="shared" si="12"/>
        <v>03224368777</v>
      </c>
      <c r="F93" s="2" t="str">
        <f>TRIM(PROPER(Raw_Data!E43))</f>
        <v>Multan</v>
      </c>
      <c r="G93" s="2" t="str">
        <f>TRIM(PROPER(Raw_Data!F43))</f>
        <v>Bookshelf</v>
      </c>
      <c r="H93" s="2" t="str">
        <f>TRIM(PROPER(Raw_Data!G43))</f>
        <v>Furniture</v>
      </c>
      <c r="I93" s="17">
        <v>46222</v>
      </c>
      <c r="J93" s="28">
        <v>3</v>
      </c>
      <c r="K93" s="21">
        <v>2500</v>
      </c>
      <c r="L93" s="25">
        <f t="shared" si="13"/>
        <v>7500</v>
      </c>
      <c r="M93" s="2" t="s">
        <v>102</v>
      </c>
      <c r="N93" s="2" t="s">
        <v>29</v>
      </c>
      <c r="O93" s="13">
        <v>46229</v>
      </c>
      <c r="P93" t="str">
        <f t="shared" si="14"/>
        <v>ORD</v>
      </c>
      <c r="Q93" t="str">
        <f t="shared" si="15"/>
        <v>1041</v>
      </c>
      <c r="R93">
        <f t="shared" si="16"/>
        <v>4</v>
      </c>
      <c r="S93" t="str">
        <f t="shared" si="17"/>
        <v>1041</v>
      </c>
    </row>
    <row r="94" spans="1:19" x14ac:dyDescent="0.35">
      <c r="A94" s="2" t="s">
        <v>183</v>
      </c>
      <c r="B94" s="2" t="str">
        <f>CLEAN(TRIM(Raw_Data!B76))</f>
        <v>Zeeshan Sheikh</v>
      </c>
      <c r="C94" s="2" t="s">
        <v>494</v>
      </c>
      <c r="D94" s="2" t="s">
        <v>185</v>
      </c>
      <c r="E94" s="2" t="str">
        <f t="shared" si="12"/>
        <v>03509479950</v>
      </c>
      <c r="F94" s="2" t="str">
        <f>TRIM(PROPER(Raw_Data!E76))</f>
        <v>Rawalpindi</v>
      </c>
      <c r="G94" s="2" t="str">
        <f>TRIM(PROPER(Raw_Data!F76))</f>
        <v>Mobile Phone</v>
      </c>
      <c r="H94" s="2" t="s">
        <v>95</v>
      </c>
      <c r="I94" s="17">
        <v>46234</v>
      </c>
      <c r="J94" s="28">
        <v>5</v>
      </c>
      <c r="K94" s="21">
        <v>1500</v>
      </c>
      <c r="L94" s="25">
        <f t="shared" si="13"/>
        <v>7500</v>
      </c>
      <c r="M94" s="2" t="s">
        <v>20</v>
      </c>
      <c r="N94" s="2" t="s">
        <v>29</v>
      </c>
      <c r="O94" s="13">
        <v>46238</v>
      </c>
      <c r="P94" t="str">
        <f t="shared" si="14"/>
        <v>ORD</v>
      </c>
      <c r="Q94" t="str">
        <f t="shared" si="15"/>
        <v>1072</v>
      </c>
      <c r="R94">
        <f t="shared" si="16"/>
        <v>4</v>
      </c>
      <c r="S94" t="str">
        <f t="shared" si="17"/>
        <v>1072</v>
      </c>
    </row>
    <row r="95" spans="1:19" x14ac:dyDescent="0.35">
      <c r="A95" s="2" t="s">
        <v>464</v>
      </c>
      <c r="B95" s="2" t="str">
        <f>CLEAN(TRIM(Raw_Data!B99))</f>
        <v>Danish Rana</v>
      </c>
      <c r="C95" s="2" t="s">
        <v>466</v>
      </c>
      <c r="D95" s="2" t="s">
        <v>467</v>
      </c>
      <c r="E95" s="2" t="str">
        <f t="shared" si="12"/>
        <v>03753419132</v>
      </c>
      <c r="F95" s="2" t="str">
        <f>TRIM(PROPER(Raw_Data!E99))</f>
        <v>Karachi</v>
      </c>
      <c r="G95" s="2" t="str">
        <f>TRIM(PROPER(Raw_Data!F99))</f>
        <v>Sofa Set</v>
      </c>
      <c r="H95" s="2" t="s">
        <v>45</v>
      </c>
      <c r="I95" s="17">
        <v>46225</v>
      </c>
      <c r="J95" s="28">
        <v>2</v>
      </c>
      <c r="K95" s="21">
        <v>2500</v>
      </c>
      <c r="L95" s="25">
        <f t="shared" si="13"/>
        <v>5000</v>
      </c>
      <c r="M95" s="2" t="s">
        <v>102</v>
      </c>
      <c r="N95" s="2" t="s">
        <v>29</v>
      </c>
      <c r="O95" s="13">
        <v>46230</v>
      </c>
      <c r="P95" t="str">
        <f t="shared" si="14"/>
        <v>ORD</v>
      </c>
      <c r="Q95" t="str">
        <f t="shared" si="15"/>
        <v>1094</v>
      </c>
      <c r="R95">
        <f t="shared" si="16"/>
        <v>4</v>
      </c>
      <c r="S95" t="str">
        <f t="shared" si="17"/>
        <v>1094</v>
      </c>
    </row>
    <row r="96" spans="1:19" x14ac:dyDescent="0.35">
      <c r="A96" s="2" t="s">
        <v>404</v>
      </c>
      <c r="B96" s="2" t="str">
        <f>CLEAN(TRIM(Raw_Data!B82))</f>
        <v>Hira Iqbal</v>
      </c>
      <c r="C96" s="2" t="s">
        <v>406</v>
      </c>
      <c r="D96" s="2" t="s">
        <v>407</v>
      </c>
      <c r="E96" s="2" t="str">
        <f t="shared" si="12"/>
        <v>03626319061</v>
      </c>
      <c r="F96" s="2" t="str">
        <f>TRIM(PROPER(Raw_Data!E82))</f>
        <v>Faisalabad</v>
      </c>
      <c r="G96" s="2" t="str">
        <f>TRIM(PROPER(Raw_Data!F82))</f>
        <v>Vacuum Cleaner</v>
      </c>
      <c r="H96" s="2" t="s">
        <v>27</v>
      </c>
      <c r="I96" s="17">
        <v>46253</v>
      </c>
      <c r="J96" s="28">
        <v>3</v>
      </c>
      <c r="K96" s="21">
        <v>1500</v>
      </c>
      <c r="L96" s="25">
        <f t="shared" si="13"/>
        <v>4500</v>
      </c>
      <c r="M96" s="2" t="s">
        <v>28</v>
      </c>
      <c r="N96" s="2" t="s">
        <v>29</v>
      </c>
      <c r="O96" s="13">
        <v>46256</v>
      </c>
      <c r="P96" t="str">
        <f t="shared" si="14"/>
        <v>ORD</v>
      </c>
      <c r="Q96" t="str">
        <f t="shared" si="15"/>
        <v>1077</v>
      </c>
      <c r="R96">
        <f t="shared" si="16"/>
        <v>4</v>
      </c>
      <c r="S96" t="str">
        <f t="shared" si="17"/>
        <v>1077</v>
      </c>
    </row>
    <row r="97" spans="1:19" x14ac:dyDescent="0.35">
      <c r="A97" s="2" t="s">
        <v>305</v>
      </c>
      <c r="B97" s="2" t="str">
        <f>CLEAN(TRIM(Raw_Data!B56))</f>
        <v>Zainab Aslam</v>
      </c>
      <c r="C97" s="2" t="s">
        <v>307</v>
      </c>
      <c r="D97" s="2" t="s">
        <v>308</v>
      </c>
      <c r="E97" s="2" t="str">
        <f t="shared" si="12"/>
        <v>03812913049</v>
      </c>
      <c r="F97" s="2" t="str">
        <f>TRIM(PROPER(Raw_Data!E56))</f>
        <v>Multan</v>
      </c>
      <c r="G97" s="2" t="str">
        <f>TRIM(PROPER(Raw_Data!F56))</f>
        <v>Led Tv</v>
      </c>
      <c r="H97" s="2" t="s">
        <v>95</v>
      </c>
      <c r="I97" s="17">
        <v>46213</v>
      </c>
      <c r="J97" s="28">
        <v>1</v>
      </c>
      <c r="K97" s="21">
        <v>4000</v>
      </c>
      <c r="L97" s="25">
        <f t="shared" si="13"/>
        <v>4000</v>
      </c>
      <c r="M97" s="2" t="s">
        <v>102</v>
      </c>
      <c r="N97" s="2" t="s">
        <v>515</v>
      </c>
      <c r="O97" s="13">
        <v>46220</v>
      </c>
      <c r="P97" t="str">
        <f t="shared" si="14"/>
        <v>ORD</v>
      </c>
      <c r="Q97" t="str">
        <f t="shared" si="15"/>
        <v>1053</v>
      </c>
      <c r="R97">
        <f t="shared" si="16"/>
        <v>4</v>
      </c>
      <c r="S97" t="str">
        <f t="shared" si="17"/>
        <v>1053</v>
      </c>
    </row>
    <row r="98" spans="1:19" x14ac:dyDescent="0.35">
      <c r="A98" s="2" t="s">
        <v>54</v>
      </c>
      <c r="B98" s="2" t="str">
        <f>CLEAN(TRIM(Raw_Data!B7))</f>
        <v>Kashif Anwar</v>
      </c>
      <c r="C98" s="2" t="s">
        <v>56</v>
      </c>
      <c r="D98" s="2" t="s">
        <v>57</v>
      </c>
      <c r="E98" s="2" t="str">
        <f t="shared" ref="E98:E104" si="18">SUBSTITUTE(SUBSTITUTE(D98,"-","")," ","")</f>
        <v>03774337174</v>
      </c>
      <c r="F98" s="2" t="str">
        <f>TRIM(PROPER(Raw_Data!E7))</f>
        <v>Islamabad</v>
      </c>
      <c r="G98" s="2" t="str">
        <f>TRIM(PROPER(Raw_Data!F7))</f>
        <v>Microwave Oven</v>
      </c>
      <c r="H98" s="2" t="str">
        <f>TRIM(PROPER(Raw_Data!G7))</f>
        <v>Home Appliances</v>
      </c>
      <c r="I98" s="17">
        <v>46227</v>
      </c>
      <c r="J98" s="28">
        <v>2</v>
      </c>
      <c r="K98" s="21">
        <v>1500</v>
      </c>
      <c r="L98" s="25">
        <f t="shared" ref="L98:L104" si="19">J98*K98</f>
        <v>3000</v>
      </c>
      <c r="M98" s="2" t="s">
        <v>28</v>
      </c>
      <c r="N98" s="2" t="s">
        <v>29</v>
      </c>
      <c r="O98" s="13">
        <v>46231</v>
      </c>
      <c r="P98" t="str">
        <f t="shared" ref="P98:P104" si="20">LEFT(A98,3)</f>
        <v>ORD</v>
      </c>
      <c r="Q98" t="str">
        <f t="shared" ref="Q98:Q104" si="21">RIGHT(A98,4)</f>
        <v>1006</v>
      </c>
      <c r="R98">
        <f t="shared" ref="R98:R104" si="22">FIND("-",A98)</f>
        <v>4</v>
      </c>
      <c r="S98" t="str">
        <f t="shared" ref="S98:S104" si="23">MID(A98,FIND("-",A98)+1,4)</f>
        <v>1006</v>
      </c>
    </row>
    <row r="99" spans="1:19" x14ac:dyDescent="0.35">
      <c r="A99" s="2" t="s">
        <v>108</v>
      </c>
      <c r="B99" s="2" t="str">
        <f>CLEAN(TRIM(Raw_Data!B16))</f>
        <v>Junaid Khan</v>
      </c>
      <c r="C99" s="2" t="s">
        <v>110</v>
      </c>
      <c r="D99" s="2" t="s">
        <v>111</v>
      </c>
      <c r="E99" s="2" t="str">
        <f t="shared" si="18"/>
        <v>03945163555</v>
      </c>
      <c r="F99" s="2" t="str">
        <f>TRIM(PROPER(Raw_Data!E16))</f>
        <v>Karachi</v>
      </c>
      <c r="G99" s="2" t="str">
        <f>TRIM(PROPER(Raw_Data!F16))</f>
        <v>Blender</v>
      </c>
      <c r="H99" s="2" t="str">
        <f>TRIM(PROPER(Raw_Data!G16))</f>
        <v>Home Appliances</v>
      </c>
      <c r="I99" s="17">
        <v>46254</v>
      </c>
      <c r="J99" s="28">
        <v>2</v>
      </c>
      <c r="K99" s="21">
        <v>1500</v>
      </c>
      <c r="L99" s="25">
        <f t="shared" si="19"/>
        <v>3000</v>
      </c>
      <c r="M99" s="2" t="s">
        <v>28</v>
      </c>
      <c r="N99" s="2" t="s">
        <v>29</v>
      </c>
      <c r="O99" s="13">
        <v>46257</v>
      </c>
      <c r="P99" t="str">
        <f t="shared" si="20"/>
        <v>ORD</v>
      </c>
      <c r="Q99" t="str">
        <f t="shared" si="21"/>
        <v>1015</v>
      </c>
      <c r="R99">
        <f t="shared" si="22"/>
        <v>4</v>
      </c>
      <c r="S99" t="str">
        <f t="shared" si="23"/>
        <v>1015</v>
      </c>
    </row>
    <row r="100" spans="1:19" x14ac:dyDescent="0.35">
      <c r="A100" s="2" t="s">
        <v>323</v>
      </c>
      <c r="B100" s="2" t="str">
        <f>CLEAN(TRIM(Raw_Data!B60))</f>
        <v>Mahnoor Qureshi</v>
      </c>
      <c r="C100" s="2" t="s">
        <v>325</v>
      </c>
      <c r="D100" s="2" t="s">
        <v>326</v>
      </c>
      <c r="E100" s="2" t="str">
        <f t="shared" si="18"/>
        <v>03994817541</v>
      </c>
      <c r="F100" s="2" t="str">
        <f>TRIM(PROPER(Raw_Data!E60))</f>
        <v>Sialkot</v>
      </c>
      <c r="G100" s="2" t="str">
        <f>TRIM(PROPER(Raw_Data!F60))</f>
        <v>Water Dispenser</v>
      </c>
      <c r="H100" s="2" t="s">
        <v>27</v>
      </c>
      <c r="I100" s="17">
        <v>46248</v>
      </c>
      <c r="J100" s="28">
        <v>2</v>
      </c>
      <c r="K100" s="21">
        <v>1500</v>
      </c>
      <c r="L100" s="25">
        <f t="shared" si="19"/>
        <v>3000</v>
      </c>
      <c r="M100" s="2" t="s">
        <v>102</v>
      </c>
      <c r="N100" s="2" t="s">
        <v>29</v>
      </c>
      <c r="O100" s="13">
        <v>46250</v>
      </c>
      <c r="P100" t="str">
        <f t="shared" si="20"/>
        <v>ORD</v>
      </c>
      <c r="Q100" t="str">
        <f t="shared" si="21"/>
        <v>1075</v>
      </c>
      <c r="R100">
        <f t="shared" si="22"/>
        <v>4</v>
      </c>
      <c r="S100" t="str">
        <f t="shared" si="23"/>
        <v>1075</v>
      </c>
    </row>
    <row r="101" spans="1:19" x14ac:dyDescent="0.35">
      <c r="A101" s="2" t="s">
        <v>323</v>
      </c>
      <c r="B101" s="2" t="str">
        <f>CLEAN(TRIM(Raw_Data!B80))</f>
        <v>Mahnoor Qureshi</v>
      </c>
      <c r="C101" s="2" t="s">
        <v>325</v>
      </c>
      <c r="D101" s="2" t="s">
        <v>326</v>
      </c>
      <c r="E101" s="2" t="str">
        <f t="shared" si="18"/>
        <v>03994817541</v>
      </c>
      <c r="F101" s="2" t="str">
        <f>TRIM(PROPER(Raw_Data!E80))</f>
        <v>Sialkot</v>
      </c>
      <c r="G101" s="2" t="str">
        <f>TRIM(PROPER(Raw_Data!F80))</f>
        <v>Water Dispenser</v>
      </c>
      <c r="H101" s="2" t="s">
        <v>27</v>
      </c>
      <c r="I101" s="17">
        <v>46248</v>
      </c>
      <c r="J101" s="28">
        <v>2</v>
      </c>
      <c r="K101" s="21">
        <v>1500</v>
      </c>
      <c r="L101" s="25">
        <f t="shared" si="19"/>
        <v>3000</v>
      </c>
      <c r="M101" s="2" t="s">
        <v>102</v>
      </c>
      <c r="N101" s="2" t="s">
        <v>29</v>
      </c>
      <c r="O101" s="13">
        <v>46250</v>
      </c>
      <c r="P101" t="str">
        <f t="shared" si="20"/>
        <v>ORD</v>
      </c>
      <c r="Q101" t="str">
        <f t="shared" si="21"/>
        <v>1075</v>
      </c>
      <c r="R101">
        <f t="shared" si="22"/>
        <v>4</v>
      </c>
      <c r="S101" t="str">
        <f t="shared" si="23"/>
        <v>1075</v>
      </c>
    </row>
    <row r="102" spans="1:19" x14ac:dyDescent="0.35">
      <c r="A102" s="2" t="s">
        <v>420</v>
      </c>
      <c r="B102" s="2" t="str">
        <f>CLEAN(TRIM(Raw_Data!B86))</f>
        <v>Farah Qureshi</v>
      </c>
      <c r="C102" s="2" t="s">
        <v>422</v>
      </c>
      <c r="D102" s="2" t="s">
        <v>494</v>
      </c>
      <c r="E102" s="2" t="str">
        <f t="shared" si="18"/>
        <v>NotProvided</v>
      </c>
      <c r="F102" s="2" t="str">
        <f>TRIM(PROPER(Raw_Data!E86))</f>
        <v>Peshawar</v>
      </c>
      <c r="G102" s="2" t="str">
        <f>TRIM(PROPER(Raw_Data!F86))</f>
        <v>Bookshelf</v>
      </c>
      <c r="H102" s="2" t="s">
        <v>45</v>
      </c>
      <c r="I102" s="17">
        <v>46245</v>
      </c>
      <c r="J102" s="28">
        <v>2</v>
      </c>
      <c r="K102" s="21">
        <v>1500</v>
      </c>
      <c r="L102" s="25">
        <f t="shared" si="19"/>
        <v>3000</v>
      </c>
      <c r="M102" s="2" t="s">
        <v>20</v>
      </c>
      <c r="N102" s="2" t="s">
        <v>29</v>
      </c>
      <c r="O102" s="13">
        <v>46249</v>
      </c>
      <c r="P102" t="str">
        <f t="shared" si="20"/>
        <v>ORD</v>
      </c>
      <c r="Q102" t="str">
        <f t="shared" si="21"/>
        <v>1081</v>
      </c>
      <c r="R102">
        <f t="shared" si="22"/>
        <v>4</v>
      </c>
      <c r="S102" t="str">
        <f t="shared" si="23"/>
        <v>1081</v>
      </c>
    </row>
    <row r="103" spans="1:19" x14ac:dyDescent="0.35">
      <c r="A103" s="2" t="s">
        <v>142</v>
      </c>
      <c r="B103" s="2" t="str">
        <f>CLEAN(TRIM(Raw_Data!B23))</f>
        <v>Junaid Siddiqui</v>
      </c>
      <c r="C103" s="2" t="s">
        <v>144</v>
      </c>
      <c r="D103" s="2" t="s">
        <v>145</v>
      </c>
      <c r="E103" s="2" t="str">
        <f t="shared" si="18"/>
        <v>03496639317</v>
      </c>
      <c r="F103" s="2" t="str">
        <f>TRIM(PROPER(Raw_Data!E23))</f>
        <v>Peshawar</v>
      </c>
      <c r="G103" s="2" t="str">
        <f>TRIM(PROPER(Raw_Data!F23))</f>
        <v>Wrist Watch</v>
      </c>
      <c r="H103" s="2" t="str">
        <f>TRIM(PROPER(Raw_Data!G23))</f>
        <v>Accessories</v>
      </c>
      <c r="I103" s="17">
        <v>46241</v>
      </c>
      <c r="J103" s="28">
        <v>1</v>
      </c>
      <c r="K103" s="21">
        <v>2500</v>
      </c>
      <c r="L103" s="25">
        <f t="shared" si="19"/>
        <v>2500</v>
      </c>
      <c r="M103" s="2" t="s">
        <v>46</v>
      </c>
      <c r="N103" s="2" t="s">
        <v>515</v>
      </c>
      <c r="O103" s="13">
        <v>46247</v>
      </c>
      <c r="P103" t="str">
        <f t="shared" si="20"/>
        <v>ORD</v>
      </c>
      <c r="Q103" t="str">
        <f t="shared" si="21"/>
        <v>1022</v>
      </c>
      <c r="R103">
        <f t="shared" si="22"/>
        <v>4</v>
      </c>
      <c r="S103" t="str">
        <f t="shared" si="23"/>
        <v>1022</v>
      </c>
    </row>
    <row r="104" spans="1:19" x14ac:dyDescent="0.35">
      <c r="A104" s="2" t="s">
        <v>72</v>
      </c>
      <c r="B104" s="2" t="str">
        <f>CLEAN(TRIM(Raw_Data!B10))</f>
        <v>Junaid Baig</v>
      </c>
      <c r="C104" s="2" t="s">
        <v>74</v>
      </c>
      <c r="D104" s="2" t="s">
        <v>75</v>
      </c>
      <c r="E104" s="2" t="str">
        <f t="shared" si="18"/>
        <v>03516692553</v>
      </c>
      <c r="F104" s="2" t="str">
        <f>TRIM(PROPER(Raw_Data!E10))</f>
        <v>Rawalpindi</v>
      </c>
      <c r="G104" s="2" t="str">
        <f>TRIM(PROPER(Raw_Data!F10))</f>
        <v>Sunglasses</v>
      </c>
      <c r="H104" s="2" t="str">
        <f>TRIM(PROPER(Raw_Data!G10))</f>
        <v>Accessories</v>
      </c>
      <c r="I104" s="17">
        <v>46232</v>
      </c>
      <c r="J104" s="28">
        <v>1</v>
      </c>
      <c r="K104" s="21">
        <v>1500</v>
      </c>
      <c r="L104" s="25">
        <f t="shared" si="19"/>
        <v>1500</v>
      </c>
      <c r="M104" s="2" t="s">
        <v>102</v>
      </c>
      <c r="N104" s="2" t="s">
        <v>29</v>
      </c>
      <c r="O104" s="13">
        <v>46238</v>
      </c>
      <c r="P104" t="str">
        <f t="shared" si="20"/>
        <v>ORD</v>
      </c>
      <c r="Q104" t="str">
        <f t="shared" si="21"/>
        <v>1009</v>
      </c>
      <c r="R104">
        <f t="shared" si="22"/>
        <v>4</v>
      </c>
      <c r="S104" t="str">
        <f t="shared" si="23"/>
        <v>1009</v>
      </c>
    </row>
    <row r="105" spans="1:19" x14ac:dyDescent="0.35">
      <c r="A105" s="9"/>
      <c r="B105" s="9"/>
      <c r="C105" s="9"/>
      <c r="D105" s="9"/>
      <c r="E105" s="2"/>
      <c r="F105" s="9"/>
      <c r="G105" s="9"/>
      <c r="H105" s="2"/>
      <c r="I105" s="18"/>
      <c r="J105" s="29"/>
      <c r="K105" s="22"/>
      <c r="L105" s="26"/>
      <c r="M105" s="9"/>
      <c r="N105" s="9"/>
      <c r="O105" s="14"/>
    </row>
    <row r="106" spans="1:19" x14ac:dyDescent="0.35">
      <c r="A106" s="7"/>
      <c r="E106" s="2"/>
      <c r="H106" s="10"/>
    </row>
  </sheetData>
  <sortState xmlns:xlrd2="http://schemas.microsoft.com/office/spreadsheetml/2017/richdata2" ref="A2:S106">
    <sortCondition descending="1" ref="L2:L106"/>
  </sortState>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Pivot_Tables</vt:lpstr>
      <vt:lpstr>Dashboard</vt:lpstr>
      <vt:lpstr>Sales_Dashboard</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Asma Yousaf</cp:lastModifiedBy>
  <cp:revision>0</cp:revision>
  <dcterms:created xsi:type="dcterms:W3CDTF">2026-08-24T14:48:21Z</dcterms:created>
  <dcterms:modified xsi:type="dcterms:W3CDTF">2026-08-28T15:51:18Z</dcterms:modified>
  <dc:language>en-US</dc:language>
</cp:coreProperties>
</file>